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3caa6bb77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8e66dc2f4434e91"/>
    <x:sheet xmlns:r="http://schemas.openxmlformats.org/officeDocument/2006/relationships" name="充放电量" sheetId="2" r:id="Rf5e4f7f0961d4db1"/>
    <x:sheet xmlns:r="http://schemas.openxmlformats.org/officeDocument/2006/relationships" name="计算明细" sheetId="3" r:id="R747a422be2e242d5"/>
    <x:sheet xmlns:r="http://schemas.openxmlformats.org/officeDocument/2006/relationships" name="求解核验" sheetId="4" r:id="Rf1f5cc3044fc49f0"/>
    <x:sheet xmlns:r="http://schemas.openxmlformats.org/officeDocument/2006/relationships" name="修订说明" sheetId="5" r:id="R246f80945c9e4ffe"/>
    <x:sheet xmlns:r="http://schemas.openxmlformats.org/officeDocument/2006/relationships" name="参数敏感性" sheetId="6" r:id="R4c605779a1f6471e"/>
    <x:sheet xmlns:r="http://schemas.openxmlformats.org/officeDocument/2006/relationships" name="晚间对照" sheetId="7" r:id="Rbe36ab6b882d4a1a"/>
    <x:sheet xmlns:r="http://schemas.openxmlformats.org/officeDocument/2006/relationships" name="本轮参数设置" sheetId="8" r:id="Rcfe441fe96e7467b"/>
    <x:sheet xmlns:r="http://schemas.openxmlformats.org/officeDocument/2006/relationships" name="本轮结果汇总" sheetId="9" r:id="Ra325a98159eb4b4f"/>
    <x:sheet xmlns:r="http://schemas.openxmlformats.org/officeDocument/2006/relationships" name="购电量差值" sheetId="10" r:id="R187f77f9c5534064"/>
    <x:sheet xmlns:r="http://schemas.openxmlformats.org/officeDocument/2006/relationships" name="本轮分析说明" sheetId="11" r:id="Ra4d07a7b78e84bbe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<x:sst xmlns:x="http://schemas.openxmlformats.org/spreadsheetml/2006/main">
  <x:si>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</x:si>
  <x:si>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</x:si>
  <x:si>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0:00-0:10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</x:si>
  <x:si>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</x:si>
  <x:si>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</x:si>
  <x:si>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</x:si>
  <x:si>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</x:si>
  <x:si>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</x:si>
  <x:si>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</x:si>
  <x:si>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</x:si>
  <x:si>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</x:si>
  <x:si>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</x:si>
  <x:si>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</x:si>
  <x:si>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</x:si>
  <x:si>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</x:si>
  <x:si>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</x:si>
  <x:si>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</x:si>
  <x:si>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</x:si>
  <x:si>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</x:si>
  <x:si>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</x:si>
  <x:si>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</x:si>
  <x:si>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</x:si>
  <x:si>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</x:si>
  <x:si>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</x:si>
  <x:si>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</x:si>
  <x:si>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</x:si>
  <x:si>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</x:si>
  <x:si>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</x:si>
  <x:si>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</x:si>
  <x:si>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</x:si>
  <x:si>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</x:si>
  <x:si>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</x:si>
  <x:si>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</x:si>
  <x:si>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</x:si>
  <x:si>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</x:si>
  <x:si>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</x:si>
  <x:si>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</x:si>
  <x:si>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</x:si>
  <x:si>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</x:si>
  <x:si>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</x:si>
  <x:si>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</x:si>
  <x:si>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</x:si>
  <x:si>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</x:si>
  <x:si>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</x:si>
  <x:si>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</x:si>
  <x:si>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</x:si>
  <x:si>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</x:si>
  <x:si>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</x:si>
  <x:si>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</x:si>
  <x:si>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</x:si>
  <x:si>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</x:si>
  <x:si>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</x:si>
  <x:si>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</x:si>
  <x:si>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</x:si>
  <x:si>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</x:si>
  <x:si>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</x:si>
  <x:si>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</x:si>
  <x:si>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</x:si>
  <x:si>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</x:si>
  <x:si>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</x:si>
  <x:si>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</x:si>
  <x:si>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</x:si>
  <x:si>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</x:si>
  <x:si>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</x:si>
  <x:si>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</x:si>
  <x:si>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</x:si>
  <x:si>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</x:si>
  <x:si>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</x:si>
  <x:si>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</x:si>
  <x:si>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</x:si>
  <x:si>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</x:si>
  <x:si>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</x:si>
  <x:si>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</x:si>
  <x:si>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</x:si>
  <x:si>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</x:si>
  <x:si>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</x:si>
  <x:si>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</x:si>
  <x:si>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</x:si>
  <x:si>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</x:si>
  <x:si>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</x:si>
  <x:si>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</x:si>
  <x:si>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</x:si>
  <x:si>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</x:si>
  <x:si>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</x:si>
  <x:si>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</x:si>
  <x:si>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</x:si>
  <x:si>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</x:si>
  <x:si>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</x:si>
  <x:si>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</x:si>
  <x:si>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</x:si>
  <x:si>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</x:si>
  <x:si>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</x:si>
  <x:si>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</x:si>
  <x:si>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</x:si>
  <x:si>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</x:si>
  <x:si>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</x:si>
  <x:si>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</x:si>
  <x:si>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</x:si>
  <x:si>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</x:si>
  <x:si>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</x:si>
  <x:si>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</x:si>
  <x:si>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</x:si>
  <x:si>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</x:si>
  <x:si>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</x:si>
  <x:si>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</x:si>
  <x:si>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</x:si>
  <x:si>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</x:si>
  <x:si>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</x:si>
  <x:si>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</x:si>
  <x:si>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</x:si>
  <x:si>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</x:si>
  <x:si>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</x:si>
  <x:si>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</x:si>
  <x:si>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</x:si>
  <x:si>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</x:si>
  <x:si>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</x:si>
  <x:si>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</x:si>
  <x:si>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</x:si>
  <x:si>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</x:si>
  <x:si>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</x:si>
  <x:si>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</x:si>
  <x:si>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</x:si>
  <x:si>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</x:si>
  <x:si>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</x:si>
  <x:si>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</x:si>
  <x:si>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</x:si>
  <x:si>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</x:si>
  <x:si>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</x:si>
  <x:si>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</x:si>
  <x:si>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</x:si>
  <x:si>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</x:si>
  <x:si>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</x:si>
  <x:si>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</x:si>
  <x:si>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</x:si>
  <x:si>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</x:si>
  <x:si>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</x:si>
  <x:si>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</x:si>
  <x:si>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</x:si>
  <x:si>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</x:si>
  <x:si>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</x:si>
  <x:si>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</x:si>
  <x:si>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</x:si>
  <x:si>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</x:si>
  <x:si>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</x:si>
  <x:si>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</x:si>
  <x:si>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23:50-24:00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</x:si>
  <x:si>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</x:si>
  <x:si>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</x:si>
  <x:si>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</x:si>
  <x:si>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</x:si>
  <x:si>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</x:si>
  <x:si>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</x:si>
  <x:si>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</x:si>
  <x:si>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</x:si>
  <x:si>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</x:si>
  <x:si>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</x:si>
  <x:si>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</x:si>
  <x:si>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</x:si>
  <x:si>
    <x:t xml:space="preserve">电价</x:t>
  </x:si>
  <x:si>
    <x:t xml:space="preserve">负荷kW</x:t>
  </x:si>
  <x:si>
    <x:t xml:space="preserve">光伏kW</x:t>
  </x:si>
  <x:si>
    <x:t xml:space="preserve">购电kW</x:t>
  </x:si>
  <x:si>
    <x:t xml:space="preserve">充电kW</x:t>
  </x:si>
  <x:si>
    <x:t xml:space="preserve">放电kW</x:t>
  </x:si>
  <x:si>
    <x:t xml:space="preserve">富余kW</x:t>
  </x:si>
  <x:si>
    <x:t xml:space="preserve">期初kWh</x:t>
  </x:si>
  <x:si>
    <x:t xml:space="preserve">期末kWh</x:t>
  </x:si>
  <x:si>
    <x:t xml:space="preserve">购电kWh</x:t>
  </x:si>
  <x:si>
    <x:t xml:space="preserve">费用元</x:t>
  </x:si>
  <x:si>
    <x:t xml:space="preserve">总计</x:t>
  </x:si>
</x:sst>
</file>

<file path=xl/styles.xml><?xml version="1.0" encoding="utf-8"?>
<x:styleSheet xmlns:x="http://schemas.openxmlformats.org/spreadsheetml/2006/main">
  <x:numFmts count="7">
    <x:numFmt numFmtId="176" formatCode="0.0000_ "/>
    <x:numFmt numFmtId="177" formatCode="0.000000"/>
    <x:numFmt numFmtId="200" formatCode="0.0%"/>
    <x:numFmt numFmtId="201" formatCode="0.0000%"/>
    <x:numFmt numFmtId="202" formatCode="0.00%"/>
    <x:numFmt numFmtId="203" formatCode="0.##"/>
    <x:numFmt numFmtId="204" formatCode="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b/>
      <x:sz val="11"/>
      <x:name val="宋体"/>
    </x:font>
    <x:font>
      <x:sz val="11"/>
      <x:color rgb="FF000000"/>
      <x:name val="Microsoft YaHei"/>
    </x:font>
    <x:font>
      <x:b/>
      <x:sz val="11"/>
      <x:color rgb="FF000000"/>
      <x:name val="Microsoft YaHei"/>
    </x:font>
    <x:font>
      <x:sz val="10"/>
      <x:color rgb="FF000000"/>
      <x:name val="Microsoft YaHei"/>
    </x:font>
    <x:font>
      <x:b/>
      <x:sz val="10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7EFF5"/>
      </x:patternFill>
    </x:fill>
    <x:fill>
      <x:patternFill patternType="solid">
        <x:fgColor rgb="FFE7EFF5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2" fillId="0" borderId="0" xfId="0" applyFont="1" applyAlignment="1">
      <x:alignment horizontal="center" vertical="center"/>
    </x:xf>
    <x:xf numFmtId="0" fontId="2" fillId="0" borderId="0" xfId="0" applyFont="1"/>
    <x:xf numFmtId="49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177" fontId="2" fillId="0" borderId="0" xfId="0" applyNumberFormat="1" applyFont="1" applyAlignment="1">
      <x:alignment horizontal="center" vertical="center"/>
    </x:xf>
    <x:xf numFmtId="177" fontId="0" fillId="0" borderId="0" xfId="0" applyNumberFormat="1"/>
    <x:xf numFmtId="0" fontId="3" fillId="0" borderId="0" xfId="0" applyFon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177" fontId="4" fillId="0" borderId="0" xfId="0" applyNumberFormat="1" applyFont="1" applyFill="1" applyBorder="1"/>
    <x:xf numFmtId="177" fontId="4" fillId="2" borderId="0" xfId="0" applyNumberFormat="1" applyFont="1" applyFill="1" applyBorder="1"/>
    <x:xf numFmtId="177" fontId="5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177" fontId="4" fillId="0" borderId="0" xfId="0" applyNumberFormat="1" applyFont="1" applyFill="1" applyBorder="1" applyAlignment="1">
      <x:alignment wrapText="1"/>
    </x:xf>
    <x:xf numFmtId="177" fontId="5" fillId="2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177" fontId="0" fillId="0" borderId="0" xfId="0" applyNumberFormat="1" applyFont="1" applyFill="1" applyBorder="1" applyAlignment="1">
      <x:alignment wrapText="1"/>
    </x:xf>
    <x:xf numFmtId="177" fontId="0" fillId="0" borderId="0" xfId="0" applyNumberFormat="1" applyFont="1" applyFill="1" applyBorder="1"/>
    <x:xf numFmtId="0" fontId="6" fillId="0" borderId="0" xfId="0" applyNumberFormat="1" applyFont="1" applyFill="1" applyBorder="1"/>
    <x:xf numFmtId="177" fontId="6" fillId="0" borderId="0" xfId="0" applyNumberFormat="1" applyFont="1" applyFill="1" applyBorder="1"/>
    <x:xf numFmtId="177" fontId="6" fillId="3" borderId="0" xfId="0" applyNumberFormat="1" applyFont="1" applyFill="1" applyBorder="1"/>
    <x:xf numFmtId="177" fontId="7" fillId="3" borderId="0" xfId="0" applyNumberFormat="1" applyFont="1" applyFill="1" applyBorder="1"/>
    <x:xf numFmtId="177" fontId="7" fillId="3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/>
    <x:xf numFmtId="200" fontId="6" fillId="0" borderId="0" xfId="0" applyNumberFormat="1" applyFont="1" applyFill="1" applyBorder="1"/>
    <x:xf numFmtId="203" fontId="6" fillId="0" borderId="0" xfId="0" applyNumberFormat="1" applyFont="1" applyFill="1" applyBorder="1"/>
    <x:xf numFmtId="201" fontId="6" fillId="0" borderId="0" xfId="0" applyNumberFormat="1" applyFont="1" applyFill="1" applyBorder="1"/>
    <x:xf numFmtId="204" fontId="6" fillId="0" borderId="0" xfId="0" applyNumberFormat="1" applyFont="1" applyFill="1" applyBorder="1"/>
    <x:xf numFmtId="177" fontId="6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0fc000b7a14b0a" /><Relationship Type="http://schemas.openxmlformats.org/officeDocument/2006/relationships/theme" Target="/xl/theme/theme1.xml" Id="R9fde608ae54c4e55" /><Relationship Type="http://schemas.openxmlformats.org/officeDocument/2006/relationships/sharedStrings" Target="/xl/sharedStrings.xml" Id="Rc912b44c500246b8" /><Relationship Type="http://schemas.openxmlformats.org/officeDocument/2006/relationships/worksheet" Target="/xl/worksheets/sheet1.xml" Id="R38e66dc2f4434e91" /><Relationship Type="http://schemas.openxmlformats.org/officeDocument/2006/relationships/worksheet" Target="/xl/worksheets/sheet2.xml" Id="Rf5e4f7f0961d4db1" /><Relationship Type="http://schemas.openxmlformats.org/officeDocument/2006/relationships/worksheet" Target="/xl/worksheets/sheet3.xml" Id="R747a422be2e242d5" /><Relationship Type="http://schemas.openxmlformats.org/officeDocument/2006/relationships/worksheet" Target="/xl/worksheets/sheet4.xml" Id="Rf1f5cc3044fc49f0" /><Relationship Type="http://schemas.openxmlformats.org/officeDocument/2006/relationships/worksheet" Target="/xl/worksheets/sheet5.xml" Id="R246f80945c9e4ffe" /><Relationship Type="http://schemas.openxmlformats.org/officeDocument/2006/relationships/worksheet" Target="/xl/worksheets/sheet6.xml" Id="R4c605779a1f6471e" /><Relationship Type="http://schemas.openxmlformats.org/officeDocument/2006/relationships/worksheet" Target="/xl/worksheets/sheet7.xml" Id="Rbe36ab6b882d4a1a" /><Relationship Type="http://schemas.openxmlformats.org/officeDocument/2006/relationships/worksheet" Target="/xl/worksheets/sheet8.xml" Id="Rcfe441fe96e7467b" /><Relationship Type="http://schemas.openxmlformats.org/officeDocument/2006/relationships/worksheet" Target="/xl/worksheets/sheet9.xml" Id="Ra325a98159eb4b4f" /><Relationship Type="http://schemas.openxmlformats.org/officeDocument/2006/relationships/worksheet" Target="/xl/worksheets/sheet10.xml" Id="R187f77f9c5534064" /><Relationship Type="http://schemas.openxmlformats.org/officeDocument/2006/relationships/worksheet" Target="/xl/worksheets/sheet11.xml" Id="Ra4d07a7b78e84b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e432755c0c4c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晚间电池充电功率：原方案与修订方案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原充电kW</c:v>
          </c:tx>
          <c:marker>
            <c:symbol val="none"/>
          </c:marker>
          <c:cat>
            <c:strRef>
              <c:f>'晚间对照'!$A$2:$A$15</c:f>
              <c:strCache>
                <c:ptCount val="0"/>
              </c:strCache>
            </c:strRef>
          </c:cat>
          <c:val>
            <c:numRef>
              <c:f>'晚间对照'!$B$2:$B$15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新充电kW</c:v>
          </c:tx>
          <c:marker>
            <c:symbol val="none"/>
          </c:marker>
          <c:cat>
            <c:strRef>
              <c:f>'晚间对照'!$A$2:$A$15</c:f>
              <c:strCache>
                <c:ptCount val="0"/>
              </c:strCache>
            </c:strRef>
          </c:cat>
          <c:val>
            <c:numRef>
              <c:f>'晚间对照'!$C$2:$C$15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5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功率 / kW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e432755c0c4cb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6ada9119529441bb" /></Relationships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28" style="1" customWidth="1"/>
    <x:col min="2" max="2" width="18" customWidth="1"/>
    <x:col min="3" max="3" width="20" style="2" hidden="0" customWidth="1"/>
    <x:col min="4" max="16384" width="8.7265625" style="2" customWidth="0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44" customHeight="1">
      <x:c r="A1" s="4" t="s">
        <x:v>0</x:v>
      </x:c>
      <x:c r="B1" s="5" t="s">
        <x:v>1</x:v>
      </x:c>
      <x:c r="C1" t="str">
        <x:v>电费（元）</x:v>
      </x:c>
      <x:c r="D1" s="11" t="str">
        <x:v>S01 电费让步0%
购电量(kWh)</x:v>
      </x:c>
      <x:c r="E1" s="11" t="str">
        <x:v>S02 电费让步0.05%
购电量(kWh)</x:v>
      </x:c>
      <x:c r="F1" s="11" t="str">
        <x:v>S03 电费让步0.2%
购电量(kWh)</x:v>
      </x:c>
      <x:c r="G1" s="11" t="str">
        <x:v>S04 电费让步0.5%
购电量(kWh)</x:v>
      </x:c>
      <x:c r="H1" s="11" t="str">
        <x:v>S05 功率变化500kW
购电量(kWh)</x:v>
      </x:c>
      <x:c r="I1" s="11" t="str">
        <x:v>S06 功率变化2000kW
购电量(kWh)</x:v>
      </x:c>
      <x:c r="J1" s="11" t="str">
        <x:v>S07 最短运行60分钟
购电量(kWh)</x:v>
      </x:c>
      <x:c r="K1" s="11" t="str">
        <x:v>S08 最短运行180分钟
购电量(kWh)</x:v>
      </x:c>
      <x:c r="L1" s="11" t="str">
        <x:v>S09 同模式最短关闭60分钟
购电量(kWh)</x:v>
      </x:c>
      <x:c r="M1" s="11" t="str">
        <x:v>S10 同模式最短关闭120分钟
购电量(kWh)</x:v>
      </x:c>
      <x:c r="N1" s="11" t="str">
        <x:v>S11 功率变差权重0.25
购电量(kWh)</x:v>
      </x:c>
      <x:c r="O1" s="11" t="str">
        <x:v>S12 功率变差权重4
购电量(kWh)</x:v>
      </x:c>
      <x:c r="P1" s="11" t="str">
        <x:v>S13 平稳性退让0.5%
购电量(kWh)</x:v>
      </x:c>
      <x:c r="Q1" s="11" t="str">
        <x:v>S14 平稳性退让2%
购电量(kWh)</x:v>
      </x:c>
      <x:c r="R1" s="11" t="str">
        <x:v>S15 平稳性退让5%
购电量(kWh)</x:v>
      </x:c>
    </x:row>
    <x:row r="2" ht="14" customHeight="1">
      <x:c r="A2" s="1" t="s">
        <x:v>2</x:v>
      </x:c>
      <x:c r="B2" s="6" t="n">
        <x:f>'计算明细'!K2</x:f>
        <x:v>995.9388589602737</x:v>
      </x:c>
      <x:c r="C2" s="25" t="n">
        <x:f>B2*'计算明细'!B2</x:f>
        <x:v>423.0748272863243</x:v>
      </x:c>
      <x:c r="D2" s="25" t="n">
        <x:v>1239.9744333333333</x:v>
      </x:c>
      <x:c r="E2" s="25" t="n">
        <x:v>995.9388589602768</x:v>
      </x:c>
      <x:c r="F2" s="25" t="n">
        <x:v>987.8208808729751</x:v>
      </x:c>
      <x:c r="G2" s="25" t="n">
        <x:v>987.8208808729769</x:v>
      </x:c>
      <x:c r="H2" s="25" t="n">
        <x:v>1049.5132987003426</x:v>
      </x:c>
      <x:c r="I2" s="25" t="n">
        <x:v>1215.4137027383963</x:v>
      </x:c>
      <x:c r="J2" s="25" t="n">
        <x:v>995.9388589602746</x:v>
      </x:c>
      <x:c r="K2" s="25" t="n">
        <x:v>987.8208808729806</x:v>
      </x:c>
      <x:c r="L2" s="25" t="n">
        <x:v>995.9388589602731</x:v>
      </x:c>
      <x:c r="M2" s="25" t="n">
        <x:v>987.8208808729765</x:v>
      </x:c>
      <x:c r="N2" s="25" t="n">
        <x:v>995.9388589602737</x:v>
      </x:c>
      <x:c r="O2" s="25" t="n">
        <x:v>995.938858960274</x:v>
      </x:c>
      <x:c r="P2" s="25" t="n">
        <x:v>1024.372390763168</x:v>
      </x:c>
      <x:c r="Q2" s="25" t="n">
        <x:v>1091.6641148966203</x:v>
      </x:c>
      <x:c r="R2" s="25" t="n">
        <x:v>1200.8759937527718</x:v>
      </x:c>
    </x:row>
    <x:row r="3" ht="14" customHeight="1">
      <x:c r="A3" s="1" t="s">
        <x:v>3</x:v>
      </x:c>
      <x:c r="B3" s="6" t="n">
        <x:f>'计算明细'!K3</x:f>
        <x:v>995.6276256269407</x:v>
      </x:c>
      <x:c r="C3" s="25" t="n">
        <x:f>B3*'计算明细'!B3</x:f>
        <x:v>422.6439270786363</x:v>
      </x:c>
      <x:c r="D3" s="25" t="n">
        <x:v>1406.329866666667</x:v>
      </x:c>
      <x:c r="E3" s="25" t="n">
        <x:v>995.6276256269405</x:v>
      </x:c>
      <x:c r="F3" s="25" t="n">
        <x:v>987.5096475396415</x:v>
      </x:c>
      <x:c r="G3" s="25" t="n">
        <x:v>987.5096475396438</x:v>
      </x:c>
      <x:c r="H3" s="25" t="n">
        <x:v>1049.202065367009</x:v>
      </x:c>
      <x:c r="I3" s="25" t="n">
        <x:v>1215.1024694050632</x:v>
      </x:c>
      <x:c r="J3" s="25" t="n">
        <x:v>995.6276256269414</x:v>
      </x:c>
      <x:c r="K3" s="25" t="n">
        <x:v>987.5096475396451</x:v>
      </x:c>
      <x:c r="L3" s="25" t="n">
        <x:v>995.6276256269399</x:v>
      </x:c>
      <x:c r="M3" s="25" t="n">
        <x:v>987.5096475396435</x:v>
      </x:c>
      <x:c r="N3" s="25" t="n">
        <x:v>995.6276256269407</x:v>
      </x:c>
      <x:c r="O3" s="25" t="n">
        <x:v>995.6276256269399</x:v>
      </x:c>
      <x:c r="P3" s="25" t="n">
        <x:v>1024.0611574298346</x:v>
      </x:c>
      <x:c r="Q3" s="25" t="n">
        <x:v>1091.3528815632812</x:v>
      </x:c>
      <x:c r="R3" s="25" t="n">
        <x:v>1200.564760419439</x:v>
      </x:c>
    </x:row>
    <x:row r="4" ht="14" customHeight="1">
      <x:c r="A4" s="1" t="s">
        <x:v>4</x:v>
      </x:c>
      <x:c r="B4" s="6" t="n">
        <x:f>'计算明细'!K4</x:f>
        <x:v>996.6816089602739</x:v>
      </x:c>
      <x:c r="C4" s="25" t="n">
        <x:f>B4*'计算明细'!B4</x:f>
        <x:v>425.48337886514093</x:v>
      </x:c>
      <x:c r="D4" s="25" t="n">
        <x:v>1407.3838500000006</x:v>
      </x:c>
      <x:c r="E4" s="25" t="n">
        <x:v>996.6816089602737</x:v>
      </x:c>
      <x:c r="F4" s="25" t="n">
        <x:v>988.5636308729747</x:v>
      </x:c>
      <x:c r="G4" s="25" t="n">
        <x:v>988.563630872977</x:v>
      </x:c>
      <x:c r="H4" s="25" t="n">
        <x:v>1050.2560487003425</x:v>
      </x:c>
      <x:c r="I4" s="25" t="n">
        <x:v>1216.156452738397</x:v>
      </x:c>
      <x:c r="J4" s="25" t="n">
        <x:v>996.6816089602746</x:v>
      </x:c>
      <x:c r="K4" s="25" t="n">
        <x:v>988.5636308729778</x:v>
      </x:c>
      <x:c r="L4" s="25" t="n">
        <x:v>996.6816089602731</x:v>
      </x:c>
      <x:c r="M4" s="25" t="n">
        <x:v>988.5636308729765</x:v>
      </x:c>
      <x:c r="N4" s="25" t="n">
        <x:v>996.6816089602739</x:v>
      </x:c>
      <x:c r="O4" s="25" t="n">
        <x:v>996.6816089602731</x:v>
      </x:c>
      <x:c r="P4" s="25" t="n">
        <x:v>1025.1151407631655</x:v>
      </x:c>
      <x:c r="Q4" s="25" t="n">
        <x:v>1092.4068648966145</x:v>
      </x:c>
      <x:c r="R4" s="25" t="n">
        <x:v>1201.6187437527724</x:v>
      </x:c>
    </x:row>
    <x:row r="5" ht="14" customHeight="1">
      <x:c r="A5" s="1" t="s">
        <x:v>5</x:v>
      </x:c>
      <x:c r="B5" s="6" t="n">
        <x:f>'计算明细'!K5</x:f>
        <x:v>998.3717089602738</x:v>
      </x:c>
      <x:c r="C5" s="25" t="n">
        <x:f>B5*'计算明细'!B5</x:f>
        <x:v>426.504394067829</x:v>
      </x:c>
      <x:c r="D5" s="25" t="n">
        <x:v>1409.07395</x:v>
      </x:c>
      <x:c r="E5" s="25" t="n">
        <x:v>998.3717089602737</x:v>
      </x:c>
      <x:c r="F5" s="25" t="n">
        <x:v>990.2537308729745</x:v>
      </x:c>
      <x:c r="G5" s="25" t="n">
        <x:v>990.253730872977</x:v>
      </x:c>
      <x:c r="H5" s="25" t="n">
        <x:v>1051.946148700344</x:v>
      </x:c>
      <x:c r="I5" s="25" t="n">
        <x:v>1217.8465527383971</x:v>
      </x:c>
      <x:c r="J5" s="25" t="n">
        <x:v>998.3717089602746</x:v>
      </x:c>
      <x:c r="K5" s="25" t="n">
        <x:v>990.2537308729777</x:v>
      </x:c>
      <x:c r="L5" s="25" t="n">
        <x:v>998.3717089602724</x:v>
      </x:c>
      <x:c r="M5" s="25" t="n">
        <x:v>990.2537308729766</x:v>
      </x:c>
      <x:c r="N5" s="25" t="n">
        <x:v>998.3717089602738</x:v>
      </x:c>
      <x:c r="O5" s="25" t="n">
        <x:v>998.371708960273</x:v>
      </x:c>
      <x:c r="P5" s="25" t="n">
        <x:v>1026.8052407631656</x:v>
      </x:c>
      <x:c r="Q5" s="25" t="n">
        <x:v>1094.0969648966145</x:v>
      </x:c>
      <x:c r="R5" s="25" t="n">
        <x:v>1203.3088437527722</x:v>
      </x:c>
    </x:row>
    <x:row r="6" ht="14" customHeight="1">
      <x:c r="A6" s="1" t="s">
        <x:v>6</x:v>
      </x:c>
      <x:c r="B6" s="6" t="n">
        <x:f>'计算明细'!K6</x:f>
        <x:v>999.1023089602738</x:v>
      </x:c>
      <x:c r="C6" s="25" t="n">
        <x:f>B6*'计算明细'!B6</x:f>
        <x:v>426.71659615693295</x:v>
      </x:c>
      <x:c r="D6" s="25" t="n">
        <x:v>1258.0489474006908</x:v>
      </x:c>
      <x:c r="E6" s="25" t="n">
        <x:v>999.1023089602737</x:v>
      </x:c>
      <x:c r="F6" s="25" t="n">
        <x:v>990.9843308729747</x:v>
      </x:c>
      <x:c r="G6" s="25" t="n">
        <x:v>990.9843308729767</x:v>
      </x:c>
      <x:c r="H6" s="25" t="n">
        <x:v>1052.676748700344</x:v>
      </x:c>
      <x:c r="I6" s="25" t="n">
        <x:v>1218.5771527383972</x:v>
      </x:c>
      <x:c r="J6" s="25" t="n">
        <x:v>999.1023089602746</x:v>
      </x:c>
      <x:c r="K6" s="25" t="n">
        <x:v>990.9843308729778</x:v>
      </x:c>
      <x:c r="L6" s="25" t="n">
        <x:v>999.1023089602724</x:v>
      </x:c>
      <x:c r="M6" s="25" t="n">
        <x:v>990.9843308729766</x:v>
      </x:c>
      <x:c r="N6" s="25" t="n">
        <x:v>999.1023089602738</x:v>
      </x:c>
      <x:c r="O6" s="25" t="n">
        <x:v>999.1023089602731</x:v>
      </x:c>
      <x:c r="P6" s="25" t="n">
        <x:v>1027.5358407631657</x:v>
      </x:c>
      <x:c r="Q6" s="25" t="n">
        <x:v>1094.8275648966146</x:v>
      </x:c>
      <x:c r="R6" s="25" t="n">
        <x:v>1204.0394437527723</x:v>
      </x:c>
    </x:row>
    <x:row r="7" ht="14" customHeight="1">
      <x:c r="A7" s="1" t="s">
        <x:v>7</x:v>
      </x:c>
      <x:c r="B7" s="6" t="n">
        <x:f>'计算明细'!K7</x:f>
        <x:v>999.2711089602738</x:v>
      </x:c>
      <x:c r="C7" s="25" t="n">
        <x:f>B7*'计算明细'!B7</x:f>
        <x:v>428.1876701894773</x:v>
      </x:c>
      <x:c r="D7" s="25" t="n">
        <x:v>1091.5510807340243</x:v>
      </x:c>
      <x:c r="E7" s="25" t="n">
        <x:v>999.2711089602738</x:v>
      </x:c>
      <x:c r="F7" s="25" t="n">
        <x:v>991.1531308729747</x:v>
      </x:c>
      <x:c r="G7" s="25" t="n">
        <x:v>991.1531308729769</x:v>
      </x:c>
      <x:c r="H7" s="25" t="n">
        <x:v>1052.8455487003441</x:v>
      </x:c>
      <x:c r="I7" s="25" t="n">
        <x:v>1218.7459527383971</x:v>
      </x:c>
      <x:c r="J7" s="25" t="n">
        <x:v>999.2711089602747</x:v>
      </x:c>
      <x:c r="K7" s="25" t="n">
        <x:v>991.1531308729777</x:v>
      </x:c>
      <x:c r="L7" s="25" t="n">
        <x:v>999.2711089602717</x:v>
      </x:c>
      <x:c r="M7" s="25" t="n">
        <x:v>991.1531308729766</x:v>
      </x:c>
      <x:c r="N7" s="25" t="n">
        <x:v>999.2711089602738</x:v>
      </x:c>
      <x:c r="O7" s="25" t="n">
        <x:v>999.2711089602732</x:v>
      </x:c>
      <x:c r="P7" s="25" t="n">
        <x:v>1027.7046407631656</x:v>
      </x:c>
      <x:c r="Q7" s="25" t="n">
        <x:v>1094.9963648966145</x:v>
      </x:c>
      <x:c r="R7" s="25" t="n">
        <x:v>1204.2082437527722</x:v>
      </x:c>
    </x:row>
    <x:row r="8" ht="14" customHeight="1">
      <x:c r="A8" s="1" t="s">
        <x:v>8</x:v>
      </x:c>
      <x:c r="B8" s="6" t="n">
        <x:f>'计算明细'!K8</x:f>
        <x:v>1000.4907922936073</x:v>
      </x:c>
      <x:c r="C8" s="25" t="n">
        <x:f>B8*'计算明细'!B8</x:f>
        <x:v>431.3115805577741</x:v>
      </x:c>
      <x:c r="D8" s="25" t="n">
        <x:v>926.104097400691</x:v>
      </x:c>
      <x:c r="E8" s="25" t="n">
        <x:v>1000.4907922936056</x:v>
      </x:c>
      <x:c r="F8" s="25" t="n">
        <x:v>992.3728142063079</x:v>
      </x:c>
      <x:c r="G8" s="25" t="n">
        <x:v>992.3728142063103</x:v>
      </x:c>
      <x:c r="H8" s="25" t="n">
        <x:v>1054.0652320336774</x:v>
      </x:c>
      <x:c r="I8" s="25" t="n">
        <x:v>962.945193293089</x:v>
      </x:c>
      <x:c r="J8" s="25" t="n">
        <x:v>1000.4907922936081</x:v>
      </x:c>
      <x:c r="K8" s="25" t="n">
        <x:v>992.372814206311</x:v>
      </x:c>
      <x:c r="L8" s="25" t="n">
        <x:v>1000.4907922936051</x:v>
      </x:c>
      <x:c r="M8" s="25" t="n">
        <x:v>992.3728142063101</x:v>
      </x:c>
      <x:c r="N8" s="25" t="n">
        <x:v>1000.4907922936072</x:v>
      </x:c>
      <x:c r="O8" s="25" t="n">
        <x:v>1000.4907922936065</x:v>
      </x:c>
      <x:c r="P8" s="25" t="n">
        <x:v>1028.9243240964988</x:v>
      </x:c>
      <x:c r="Q8" s="25" t="n">
        <x:v>1023.0272476509101</x:v>
      </x:c>
      <x:c r="R8" s="25" t="n">
        <x:v>1038.7612604194387</x:v>
      </x:c>
    </x:row>
    <x:row r="9" ht="14" customHeight="1">
      <x:c r="A9" s="1" t="s">
        <x:v>9</x:v>
      </x:c>
      <x:c r="B9" s="6" t="n">
        <x:f>'计算明细'!K9</x:f>
        <x:v>1000.624958960274</x:v>
      </x:c>
      <x:c r="C9" s="25" t="n">
        <x:f>B9*'计算明细'!B9</x:f>
        <x:v>430.4688573447099</x:v>
      </x:c>
      <x:c r="D9" s="25" t="n">
        <x:v>759.5715974006913</x:v>
      </x:c>
      <x:c r="E9" s="25" t="n">
        <x:v>1000.6249589602733</x:v>
      </x:c>
      <x:c r="F9" s="25" t="n">
        <x:v>992.5069808729746</x:v>
      </x:c>
      <x:c r="G9" s="25" t="n">
        <x:v>992.506980872977</x:v>
      </x:c>
      <x:c r="H9" s="25" t="n">
        <x:v>1054.199398700344</x:v>
      </x:c>
      <x:c r="I9" s="25" t="n">
        <x:v>963.0793599597557</x:v>
      </x:c>
      <x:c r="J9" s="25" t="n">
        <x:v>1000.6249589602749</x:v>
      </x:c>
      <x:c r="K9" s="25" t="n">
        <x:v>992.5069808729777</x:v>
      </x:c>
      <x:c r="L9" s="25" t="n">
        <x:v>1000.6249589602718</x:v>
      </x:c>
      <x:c r="M9" s="25" t="n">
        <x:v>992.5069808729768</x:v>
      </x:c>
      <x:c r="N9" s="25" t="n">
        <x:v>1000.624958960274</x:v>
      </x:c>
      <x:c r="O9" s="25" t="n">
        <x:v>1000.6249589602733</x:v>
      </x:c>
      <x:c r="P9" s="25" t="n">
        <x:v>1029.0584907631655</x:v>
      </x:c>
      <x:c r="Q9" s="25" t="n">
        <x:v>1023.1614143175768</x:v>
      </x:c>
      <x:c r="R9" s="25" t="n">
        <x:v>911.3272</x:v>
      </x:c>
    </x:row>
    <x:row r="10" ht="14" customHeight="1">
      <x:c r="A10" s="1" t="s">
        <x:v>10</x:v>
      </x:c>
      <x:c r="B10" s="6" t="n">
        <x:f>'计算明细'!K10</x:f>
        <x:v>1000.4591422936076</x:v>
      </x:c>
      <x:c r="C10" s="25" t="n">
        <x:f>B10*'计算明细'!B10</x:f>
        <x:v>428.09646698743467</x:v>
      </x:c>
      <x:c r="D10" s="25" t="n">
        <x:v>744.4947166666573</x:v>
      </x:c>
      <x:c r="E10" s="25" t="n">
        <x:v>1000.4591422936065</x:v>
      </x:c>
      <x:c r="F10" s="25" t="n">
        <x:v>992.341164206308</x:v>
      </x:c>
      <x:c r="G10" s="25" t="n">
        <x:v>992.3411642063103</x:v>
      </x:c>
      <x:c r="H10" s="25" t="n">
        <x:v>970.700248700344</x:v>
      </x:c>
      <x:c r="I10" s="25" t="n">
        <x:v>962.9135432930891</x:v>
      </x:c>
      <x:c r="J10" s="25" t="n">
        <x:v>1000.4591422936082</x:v>
      </x:c>
      <x:c r="K10" s="25" t="n">
        <x:v>992.3411642063111</x:v>
      </x:c>
      <x:c r="L10" s="25" t="n">
        <x:v>1000.459142293605</x:v>
      </x:c>
      <x:c r="M10" s="25" t="n">
        <x:v>992.3411642063102</x:v>
      </x:c>
      <x:c r="N10" s="25" t="n">
        <x:v>1000.4591422936073</x:v>
      </x:c>
      <x:c r="O10" s="25" t="n">
        <x:v>1000.4591422936066</x:v>
      </x:c>
      <x:c r="P10" s="25" t="n">
        <x:v>1028.892674096499</x:v>
      </x:c>
      <x:c r="Q10" s="25" t="n">
        <x:v>1022.9955976509102</x:v>
      </x:c>
      <x:c r="R10" s="25" t="n">
        <x:v>911.1613833333333</x:v>
      </x:c>
    </x:row>
    <x:row r="11" ht="14" customHeight="1">
      <x:c r="A11" s="1" t="s">
        <x:v>11</x:v>
      </x:c>
      <x:c r="B11" s="6" t="n">
        <x:f>'计算明细'!K11</x:f>
        <x:v>998.2750017920548</x:v>
      </x:c>
      <x:c r="C11" s="25" t="n">
        <x:f>B11*'计算明细'!B11</x:f>
        <x:v>430.45618077273406</x:v>
      </x:c>
      <x:c r="D11" s="25" t="n">
        <x:v>580.4154499999906</x:v>
      </x:c>
      <x:c r="E11" s="25" t="n">
        <x:v>998.2750017920657</x:v>
      </x:c>
      <x:c r="F11" s="25" t="n">
        <x:v>994.928564206308</x:v>
      </x:c>
      <x:c r="G11" s="25" t="n">
        <x:v>994.9285642063102</x:v>
      </x:c>
      <x:c r="H11" s="25" t="n">
        <x:v>889.9543153670107</x:v>
      </x:c>
      <x:c r="I11" s="25" t="n">
        <x:v>632.1676099597557</x:v>
      </x:c>
      <x:c r="J11" s="25" t="n">
        <x:v>998.2750017920532</x:v>
      </x:c>
      <x:c r="K11" s="25" t="n">
        <x:v>994.9285642063111</x:v>
      </x:c>
      <x:c r="L11" s="25" t="n">
        <x:v>998.2750017920558</x:v>
      </x:c>
      <x:c r="M11" s="25" t="n">
        <x:v>994.9285642063102</x:v>
      </x:c>
      <x:c r="N11" s="25" t="n">
        <x:v>998.2750017920469</x:v>
      </x:c>
      <x:c r="O11" s="25" t="n">
        <x:v>998.2750017920558</x:v>
      </x:c>
      <x:c r="P11" s="25" t="n">
        <x:v>947.0946445468483</x:v>
      </x:c>
      <x:c r="Q11" s="25" t="n">
        <x:v>858.9163309842436</x:v>
      </x:c>
      <x:c r="R11" s="25" t="n">
        <x:v>747.0821166666666</x:v>
      </x:c>
    </x:row>
    <x:row r="12" ht="14" customHeight="1">
      <x:c r="A12" s="1" t="s">
        <x:v>12</x:v>
      </x:c>
      <x:c r="B12" s="6" t="n">
        <x:f>'计算明细'!K12</x:f>
        <x:v>833.7069017920549</x:v>
      </x:c>
      <x:c r="C12" s="25" t="n">
        <x:f>B12*'计算明细'!B12</x:f>
        <x:v>361.24520054649736</x:v>
      </x:c>
      <x:c r="D12" s="25" t="n">
        <x:v>582.5140166666868</x:v>
      </x:c>
      <x:c r="E12" s="25" t="n">
        <x:v>833.706901792063</x:v>
      </x:c>
      <x:c r="F12" s="25" t="n">
        <x:v>852.8089618849127</x:v>
      </x:c>
      <x:c r="G12" s="25" t="n">
        <x:v>852.8089618849077</x:v>
      </x:c>
      <x:c r="H12" s="25" t="n">
        <x:v>808.7195487003441</x:v>
      </x:c>
      <x:c r="I12" s="25" t="n">
        <x:v>582.5140166666657</x:v>
      </x:c>
      <x:c r="J12" s="25" t="n">
        <x:v>833.7069017920533</x:v>
      </x:c>
      <x:c r="K12" s="25" t="n">
        <x:v>852.8089618849067</x:v>
      </x:c>
      <x:c r="L12" s="25" t="n">
        <x:v>833.706901792056</x:v>
      </x:c>
      <x:c r="M12" s="25" t="n">
        <x:v>852.808961884909</x:v>
      </x:c>
      <x:c r="N12" s="25" t="n">
        <x:v>833.7069017920468</x:v>
      </x:c>
      <x:c r="O12" s="25" t="n">
        <x:v>833.7069017920549</x:v>
      </x:c>
      <x:c r="P12" s="25" t="n">
        <x:v>782.5265445468483</x:v>
      </x:c>
      <x:c r="Q12" s="25" t="n">
        <x:v>694.3482309842435</x:v>
      </x:c>
      <x:c r="R12" s="25" t="n">
        <x:v>582.5140166666666</x:v>
      </x:c>
    </x:row>
    <x:row r="13" ht="14" customHeight="1">
      <x:c r="A13" s="1" t="s">
        <x:v>13</x:v>
      </x:c>
      <x:c r="B13" s="6" t="n">
        <x:f>'计算明细'!K13</x:f>
        <x:v>834.266935125388</x:v>
      </x:c>
      <x:c r="C13" s="25" t="n">
        <x:f>B13*'计算明细'!B13</x:f>
        <x:v>359.65247573255476</x:v>
      </x:c>
      <x:c r="D13" s="25" t="n">
        <x:v>583.0740499999999</x:v>
      </x:c>
      <x:c r="E13" s="25" t="n">
        <x:v>834.2669351253862</x:v>
      </x:c>
      <x:c r="F13" s="25" t="n">
        <x:v>853.368995218246</x:v>
      </x:c>
      <x:c r="G13" s="25" t="n">
        <x:v>853.368995218241</x:v>
      </x:c>
      <x:c r="H13" s="25" t="n">
        <x:v>725.9462487003441</x:v>
      </x:c>
      <x:c r="I13" s="25" t="n">
        <x:v>583.0740499999998</x:v>
      </x:c>
      <x:c r="J13" s="25" t="n">
        <x:v>834.2669351253867</x:v>
      </x:c>
      <x:c r="K13" s="25" t="n">
        <x:v>853.36899521824</x:v>
      </x:c>
      <x:c r="L13" s="25" t="n">
        <x:v>834.2669351253892</x:v>
      </x:c>
      <x:c r="M13" s="25" t="n">
        <x:v>853.3689952182423</x:v>
      </x:c>
      <x:c r="N13" s="25" t="n">
        <x:v>834.2669351253801</x:v>
      </x:c>
      <x:c r="O13" s="25" t="n">
        <x:v>834.2669351253892</x:v>
      </x:c>
      <x:c r="P13" s="25" t="n">
        <x:v>783.0865778801817</x:v>
      </x:c>
      <x:c r="Q13" s="25" t="n">
        <x:v>694.908264317577</x:v>
      </x:c>
      <x:c r="R13" s="25" t="n">
        <x:v>583.0740499999999</x:v>
      </x:c>
    </x:row>
    <x:row r="14" ht="14" customHeight="1">
      <x:c r="A14" s="1" t="s">
        <x:v>14</x:v>
      </x:c>
      <x:c r="B14" s="6" t="n">
        <x:f>'计算明细'!K14</x:f>
        <x:v>835.3978017920547</x:v>
      </x:c>
      <x:c r="C14" s="25" t="n">
        <x:f>B14*'计算明细'!B14</x:f>
        <x:v>358.6362763093291</x:v>
      </x:c>
      <x:c r="D14" s="25" t="n">
        <x:v>584.2049166666466</x:v>
      </x:c>
      <x:c r="E14" s="25" t="n">
        <x:v>835.3978017920529</x:v>
      </x:c>
      <x:c r="F14" s="25" t="n">
        <x:v>854.4998618849128</x:v>
      </x:c>
      <x:c r="G14" s="25" t="n">
        <x:v>854.4998618849077</x:v>
      </x:c>
      <x:c r="H14" s="25" t="n">
        <x:v>715.1271859326408</x:v>
      </x:c>
      <x:c r="I14" s="25" t="n">
        <x:v>584.2049166666665</x:v>
      </x:c>
      <x:c r="J14" s="25" t="n">
        <x:v>835.3978017920532</x:v>
      </x:c>
      <x:c r="K14" s="25" t="n">
        <x:v>854.4998618849067</x:v>
      </x:c>
      <x:c r="L14" s="25" t="n">
        <x:v>835.3978017920559</x:v>
      </x:c>
      <x:c r="M14" s="25" t="n">
        <x:v>854.4998618849088</x:v>
      </x:c>
      <x:c r="N14" s="25" t="n">
        <x:v>835.3978017920467</x:v>
      </x:c>
      <x:c r="O14" s="25" t="n">
        <x:v>835.3978017920559</x:v>
      </x:c>
      <x:c r="P14" s="25" t="n">
        <x:v>784.2174445468484</x:v>
      </x:c>
      <x:c r="Q14" s="25" t="n">
        <x:v>696.0391309842436</x:v>
      </x:c>
      <x:c r="R14" s="25" t="n">
        <x:v>584.2049166666666</x:v>
      </x:c>
    </x:row>
    <x:row r="15" ht="14" customHeight="1">
      <x:c r="A15" s="1" t="s">
        <x:v>15</x:v>
      </x:c>
      <x:c r="B15" s="6" t="n">
        <x:f>'计算明细'!K15</x:f>
        <x:v>669.9660017920546</x:v>
      </x:c>
      <x:c r="C15" s="25" t="n">
        <x:f>B15*'计算明细'!B15</x:f>
        <x:v>289.69329917488443</x:v>
      </x:c>
      <x:c r="D15" s="25" t="n">
        <x:v>585.4397833333414</x:v>
      </x:c>
      <x:c r="E15" s="25" t="n">
        <x:v>669.9660017920442</x:v>
      </x:c>
      <x:c r="F15" s="25" t="n">
        <x:v>689.0680618849128</x:v>
      </x:c>
      <x:c r="G15" s="25" t="n">
        <x:v>689.0680618849076</x:v>
      </x:c>
      <x:c r="H15" s="25" t="n">
        <x:v>633.0287192659741</x:v>
      </x:c>
      <x:c r="I15" s="25" t="n">
        <x:v>585.4397833333335</x:v>
      </x:c>
      <x:c r="J15" s="25" t="n">
        <x:v>669.9660017920543</x:v>
      </x:c>
      <x:c r="K15" s="25" t="n">
        <x:v>689.0680618849067</x:v>
      </x:c>
      <x:c r="L15" s="25" t="n">
        <x:v>669.966001792056</x:v>
      </x:c>
      <x:c r="M15" s="25" t="n">
        <x:v>689.0680618849116</x:v>
      </x:c>
      <x:c r="N15" s="25" t="n">
        <x:v>669.9660017920467</x:v>
      </x:c>
      <x:c r="O15" s="25" t="n">
        <x:v>669.966001792056</x:v>
      </x:c>
      <x:c r="P15" s="25" t="n">
        <x:v>618.7856445468484</x:v>
      </x:c>
      <x:c r="Q15" s="25" t="n">
        <x:v>585.4397833333359</x:v>
      </x:c>
      <x:c r="R15" s="25" t="n">
        <x:v>585.4397833333333</x:v>
      </x:c>
    </x:row>
    <x:row r="16" ht="14" customHeight="1">
      <x:c r="A16" s="1" t="s">
        <x:v>16</x:v>
      </x:c>
      <x:c r="B16" s="6" t="n">
        <x:f>'计算明细'!K16</x:f>
        <x:v>586.1447499999974</x:v>
      </x:c>
      <x:c r="C16" s="25" t="n">
        <x:f>B16*'计算明细'!B16</x:f>
        <x:v>255.96941232499887</x:v>
      </x:c>
      <x:c r="D16" s="25" t="n">
        <x:v>586.1447499999911</x:v>
      </x:c>
      <x:c r="E16" s="25" t="n">
        <x:v>586.1447499999999</x:v>
      </x:c>
      <x:c r="F16" s="25" t="n">
        <x:v>586.14475</x:v>
      </x:c>
      <x:c r="G16" s="25" t="n">
        <x:v>586.1447499999999</x:v>
      </x:c>
      <x:c r="H16" s="25" t="n">
        <x:v>586.1447500000006</x:v>
      </x:c>
      <x:c r="I16" s="25" t="n">
        <x:v>586.14475</x:v>
      </x:c>
      <x:c r="J16" s="25" t="n">
        <x:v>586.1447499999999</x:v>
      </x:c>
      <x:c r="K16" s="25" t="n">
        <x:v>586.1447500000005</x:v>
      </x:c>
      <x:c r="L16" s="25" t="n">
        <x:v>586.14475</x:v>
      </x:c>
      <x:c r="M16" s="25" t="n">
        <x:v>586.1447500000004</x:v>
      </x:c>
      <x:c r="N16" s="25" t="n">
        <x:v>586.1447500000046</x:v>
      </x:c>
      <x:c r="O16" s="25" t="n">
        <x:v>586.1447499999999</x:v>
      </x:c>
      <x:c r="P16" s="25" t="n">
        <x:v>586.1447499999939</x:v>
      </x:c>
      <x:c r="Q16" s="25" t="n">
        <x:v>586.1447500000025</x:v>
      </x:c>
      <x:c r="R16" s="25" t="n">
        <x:v>586.1447499999999</x:v>
      </x:c>
    </x:row>
    <x:row r="17" ht="14" customHeight="1">
      <x:c r="A17" s="1" t="s">
        <x:v>17</x:v>
      </x:c>
      <x:c r="B17" s="6" t="n">
        <x:f>'计算明细'!K17</x:f>
        <x:v>586.3207666666672</x:v>
      </x:c>
      <x:c r="C17" s="25" t="n">
        <x:f>B17*'计算明细'!B17</x:f>
        <x:v>254.93226934666689</x:v>
      </x:c>
      <x:c r="D17" s="25" t="n">
        <x:v>586.3207666666838</x:v>
      </x:c>
      <x:c r="E17" s="25" t="n">
        <x:v>586.3207666666672</x:v>
      </x:c>
      <x:c r="F17" s="25" t="n">
        <x:v>586.3207666666672</x:v>
      </x:c>
      <x:c r="G17" s="25" t="n">
        <x:v>586.3207666666672</x:v>
      </x:c>
      <x:c r="H17" s="25" t="n">
        <x:v>586.3207666666672</x:v>
      </x:c>
      <x:c r="I17" s="25" t="n">
        <x:v>586.3207666666667</x:v>
      </x:c>
      <x:c r="J17" s="25" t="n">
        <x:v>586.3207666666665</x:v>
      </x:c>
      <x:c r="K17" s="25" t="n">
        <x:v>586.3207666666664</x:v>
      </x:c>
      <x:c r="L17" s="25" t="n">
        <x:v>586.3207666666666</x:v>
      </x:c>
      <x:c r="M17" s="25" t="n">
        <x:v>586.3207666666669</x:v>
      </x:c>
      <x:c r="N17" s="25" t="n">
        <x:v>586.3207666666713</x:v>
      </x:c>
      <x:c r="O17" s="25" t="n">
        <x:v>586.3207666666672</x:v>
      </x:c>
      <x:c r="P17" s="25" t="n">
        <x:v>586.3207666666606</x:v>
      </x:c>
      <x:c r="Q17" s="25" t="n">
        <x:v>586.3207666666692</x:v>
      </x:c>
      <x:c r="R17" s="25" t="n">
        <x:v>586.3207666666666</x:v>
      </x:c>
    </x:row>
    <x:row r="18" ht="14" customHeight="1">
      <x:c r="A18" s="1" t="s">
        <x:v>18</x:v>
      </x:c>
      <x:c r="B18" s="6" t="n">
        <x:f>'计算明细'!K18</x:f>
        <x:v>586.4252999999999</x:v>
      </x:c>
      <x:c r="C18" s="25" t="n">
        <x:f>B18*'计算明细'!B18</x:f>
        <x:v>254.21536754999994</x:v>
      </x:c>
      <x:c r="D18" s="25" t="n">
        <x:v>586.4253000000169</x:v>
      </x:c>
      <x:c r="E18" s="25" t="n">
        <x:v>586.4252999999999</x:v>
      </x:c>
      <x:c r="F18" s="25" t="n">
        <x:v>586.4252999999999</x:v>
      </x:c>
      <x:c r="G18" s="25" t="n">
        <x:v>586.4252999999999</x:v>
      </x:c>
      <x:c r="H18" s="25" t="n">
        <x:v>586.4252999999995</x:v>
      </x:c>
      <x:c r="I18" s="25" t="n">
        <x:v>586.4252999999995</x:v>
      </x:c>
      <x:c r="J18" s="25" t="n">
        <x:v>586.4252999999999</x:v>
      </x:c>
      <x:c r="K18" s="25" t="n">
        <x:v>586.4253000000001</x:v>
      </x:c>
      <x:c r="L18" s="25" t="n">
        <x:v>586.4252999999993</x:v>
      </x:c>
      <x:c r="M18" s="25" t="n">
        <x:v>586.4253000000003</x:v>
      </x:c>
      <x:c r="N18" s="25" t="n">
        <x:v>586.4253000000169</x:v>
      </x:c>
      <x:c r="O18" s="25" t="n">
        <x:v>586.4253000000006</x:v>
      </x:c>
      <x:c r="P18" s="25" t="n">
        <x:v>586.4252999999937</x:v>
      </x:c>
      <x:c r="Q18" s="25" t="n">
        <x:v>586.4253000000026</x:v>
      </x:c>
      <x:c r="R18" s="25" t="n">
        <x:v>586.4253</x:v>
      </x:c>
    </x:row>
    <x:row r="19" ht="14" customHeight="1">
      <x:c r="A19" s="1" t="s">
        <x:v>19</x:v>
      </x:c>
      <x:c r="B19" s="6" t="n">
        <x:f>'计算明细'!K19</x:f>
        <x:v>586.8496000000006</x:v>
      </x:c>
      <x:c r="C19" s="25" t="n">
        <x:f>B19*'计算明细'!B19</x:f>
        <x:v>255.69037072000023</x:v>
      </x:c>
      <x:c r="D19" s="25" t="n">
        <x:v>586.8495999999973</x:v>
      </x:c>
      <x:c r="E19" s="25" t="n">
        <x:v>586.8496000000006</x:v>
      </x:c>
      <x:c r="F19" s="25" t="n">
        <x:v>586.8496000000006</x:v>
      </x:c>
      <x:c r="G19" s="25" t="n">
        <x:v>586.8496000000006</x:v>
      </x:c>
      <x:c r="H19" s="25" t="n">
        <x:v>586.8495999999993</x:v>
      </x:c>
      <x:c r="I19" s="25" t="n">
        <x:v>586.8495999999996</x:v>
      </x:c>
      <x:c r="J19" s="25" t="n">
        <x:v>586.8495999999999</x:v>
      </x:c>
      <x:c r="K19" s="25" t="n">
        <x:v>586.8496000000001</x:v>
      </x:c>
      <x:c r="L19" s="25" t="n">
        <x:v>586.8495999999993</x:v>
      </x:c>
      <x:c r="M19" s="25" t="n">
        <x:v>586.8495999999992</x:v>
      </x:c>
      <x:c r="N19" s="25" t="n">
        <x:v>586.8496000000032</x:v>
      </x:c>
      <x:c r="O19" s="25" t="n">
        <x:v>586.8496000000006</x:v>
      </x:c>
      <x:c r="P19" s="25" t="n">
        <x:v>586.849600000019</x:v>
      </x:c>
      <x:c r="Q19" s="25" t="n">
        <x:v>586.8496000000147</x:v>
      </x:c>
      <x:c r="R19" s="25" t="n">
        <x:v>586.8496</x:v>
      </x:c>
    </x:row>
    <x:row r="20" ht="14" customHeight="1">
      <x:c r="A20" s="1" t="s">
        <x:v>20</x:v>
      </x:c>
      <x:c r="B20" s="6" t="n">
        <x:f>'计算明细'!K20</x:f>
        <x:v>587.8210166666672</x:v>
      </x:c>
      <x:c r="C20" s="25" t="n">
        <x:f>B20*'计算明细'!B20</x:f>
        <x:v>257.11291269000026</x:v>
      </x:c>
      <x:c r="D20" s="25" t="n">
        <x:v>587.8210166666781</x:v>
      </x:c>
      <x:c r="E20" s="25" t="n">
        <x:v>587.8210166666672</x:v>
      </x:c>
      <x:c r="F20" s="25" t="n">
        <x:v>587.8210166666672</x:v>
      </x:c>
      <x:c r="G20" s="25" t="n">
        <x:v>587.8210166666672</x:v>
      </x:c>
      <x:c r="H20" s="25" t="n">
        <x:v>587.8210166666656</x:v>
      </x:c>
      <x:c r="I20" s="25" t="n">
        <x:v>587.8210166666662</x:v>
      </x:c>
      <x:c r="J20" s="25" t="n">
        <x:v>587.8210166666665</x:v>
      </x:c>
      <x:c r="K20" s="25" t="n">
        <x:v>587.8210166666668</x:v>
      </x:c>
      <x:c r="L20" s="25" t="n">
        <x:v>587.8210166666672</x:v>
      </x:c>
      <x:c r="M20" s="25" t="n">
        <x:v>587.8210166666665</x:v>
      </x:c>
      <x:c r="N20" s="25" t="n">
        <x:v>587.8210166666669</x:v>
      </x:c>
      <x:c r="O20" s="25" t="n">
        <x:v>587.8210166666668</x:v>
      </x:c>
      <x:c r="P20" s="25" t="n">
        <x:v>587.8210166666715</x:v>
      </x:c>
      <x:c r="Q20" s="25" t="n">
        <x:v>587.8210166666829</x:v>
      </x:c>
      <x:c r="R20" s="25" t="n">
        <x:v>587.8210166666667</x:v>
      </x:c>
    </x:row>
    <x:row r="21" ht="14" customHeight="1">
      <x:c r="A21" s="1" t="s">
        <x:v>21</x:v>
      </x:c>
      <x:c r="B21" s="6" t="n">
        <x:f>'计算明细'!K21</x:f>
        <x:v>589.5475666666672</x:v>
      </x:c>
      <x:c r="C21" s="25" t="n">
        <x:f>B21*'计算明细'!B21</x:f>
        <x:v>257.69124139000024</x:v>
      </x:c>
      <x:c r="D21" s="25" t="n">
        <x:v>589.5475666666482</x:v>
      </x:c>
      <x:c r="E21" s="25" t="n">
        <x:v>589.5475666666667</x:v>
      </x:c>
      <x:c r="F21" s="25" t="n">
        <x:v>589.5475666666672</x:v>
      </x:c>
      <x:c r="G21" s="25" t="n">
        <x:v>589.5475666666672</x:v>
      </x:c>
      <x:c r="H21" s="25" t="n">
        <x:v>589.5475666666634</x:v>
      </x:c>
      <x:c r="I21" s="25" t="n">
        <x:v>589.5475666666662</x:v>
      </x:c>
      <x:c r="J21" s="25" t="n">
        <x:v>589.5475666666666</x:v>
      </x:c>
      <x:c r="K21" s="25" t="n">
        <x:v>589.5475666666667</x:v>
      </x:c>
      <x:c r="L21" s="25" t="n">
        <x:v>589.5475666666672</x:v>
      </x:c>
      <x:c r="M21" s="25" t="n">
        <x:v>589.5475666666666</x:v>
      </x:c>
      <x:c r="N21" s="25" t="n">
        <x:v>589.5475666666669</x:v>
      </x:c>
      <x:c r="O21" s="25" t="n">
        <x:v>589.5475666666667</x:v>
      </x:c>
      <x:c r="P21" s="25" t="n">
        <x:v>589.5475666666716</x:v>
      </x:c>
      <x:c r="Q21" s="25" t="n">
        <x:v>589.5475666666558</x:v>
      </x:c>
      <x:c r="R21" s="25" t="n">
        <x:v>589.5475666666666</x:v>
      </x:c>
    </x:row>
    <x:row r="22" ht="14" customHeight="1">
      <x:c r="A22" s="1" t="s">
        <x:v>22</x:v>
      </x:c>
      <x:c r="B22" s="6" t="n">
        <x:f>'计算明细'!K22</x:f>
        <x:v>590.8134666666665</x:v>
      </x:c>
      <x:c r="C22" s="25" t="n">
        <x:f>B22*'计算明细'!B22</x:f>
        <x:v>257.35834607999993</x:v>
      </x:c>
      <x:c r="D22" s="25" t="n">
        <x:v>590.8134666666682</x:v>
      </x:c>
      <x:c r="E22" s="25" t="n">
        <x:v>590.8134666666665</x:v>
      </x:c>
      <x:c r="F22" s="25" t="n">
        <x:v>590.8134666666665</x:v>
      </x:c>
      <x:c r="G22" s="25" t="n">
        <x:v>590.8134666666665</x:v>
      </x:c>
      <x:c r="H22" s="25" t="n">
        <x:v>590.8134666666634</x:v>
      </x:c>
      <x:c r="I22" s="25" t="n">
        <x:v>590.8134666666738</x:v>
      </x:c>
      <x:c r="J22" s="25" t="n">
        <x:v>590.8134666666665</x:v>
      </x:c>
      <x:c r="K22" s="25" t="n">
        <x:v>590.8134666666667</x:v>
      </x:c>
      <x:c r="L22" s="25" t="n">
        <x:v>590.8134666666666</x:v>
      </x:c>
      <x:c r="M22" s="25" t="n">
        <x:v>590.8134666666665</x:v>
      </x:c>
      <x:c r="N22" s="25" t="n">
        <x:v>590.8134666666668</x:v>
      </x:c>
      <x:c r="O22" s="25" t="n">
        <x:v>590.8134666666672</x:v>
      </x:c>
      <x:c r="P22" s="25" t="n">
        <x:v>590.8134666666715</x:v>
      </x:c>
      <x:c r="Q22" s="25" t="n">
        <x:v>590.8134666666558</x:v>
      </x:c>
      <x:c r="R22" s="25" t="n">
        <x:v>590.8134666666666</x:v>
      </x:c>
    </x:row>
    <x:row r="23" ht="14" customHeight="1">
      <x:c r="A23" s="1" t="s">
        <x:v>23</x:v>
      </x:c>
      <x:c r="B23" s="6" t="n">
        <x:f>'计算明细'!K23</x:f>
        <x:v>590.2131166666666</x:v>
      </x:c>
      <x:c r="C23" s="25" t="n">
        <x:f>B23*'计算明细'!B23</x:f>
        <x:v>256.91976968499995</x:v>
      </x:c>
      <x:c r="D23" s="25" t="n">
        <x:v>590.2131166666501</x:v>
      </x:c>
      <x:c r="E23" s="25" t="n">
        <x:v>590.2131166666665</x:v>
      </x:c>
      <x:c r="F23" s="25" t="n">
        <x:v>590.2131166666666</x:v>
      </x:c>
      <x:c r="G23" s="25" t="n">
        <x:v>590.2131166666666</x:v>
      </x:c>
      <x:c r="H23" s="25" t="n">
        <x:v>590.2131166666692</x:v>
      </x:c>
      <x:c r="I23" s="25" t="n">
        <x:v>590.2131166666737</x:v>
      </x:c>
      <x:c r="J23" s="25" t="n">
        <x:v>590.2131166666666</x:v>
      </x:c>
      <x:c r="K23" s="25" t="n">
        <x:v>590.2131166666667</x:v>
      </x:c>
      <x:c r="L23" s="25" t="n">
        <x:v>590.2131166666666</x:v>
      </x:c>
      <x:c r="M23" s="25" t="n">
        <x:v>590.2131166666666</x:v>
      </x:c>
      <x:c r="N23" s="25" t="n">
        <x:v>590.2131166666668</x:v>
      </x:c>
      <x:c r="O23" s="25" t="n">
        <x:v>590.2131166666665</x:v>
      </x:c>
      <x:c r="P23" s="25" t="n">
        <x:v>590.2131166666716</x:v>
      </x:c>
      <x:c r="Q23" s="25" t="n">
        <x:v>590.2131166666558</x:v>
      </x:c>
      <x:c r="R23" s="25" t="n">
        <x:v>590.2131166666666</x:v>
      </x:c>
    </x:row>
    <x:row r="24" ht="14" customHeight="1">
      <x:c r="A24" s="1" t="s">
        <x:v>24</x:v>
      </x:c>
      <x:c r="B24" s="6" t="n">
        <x:f>'计算明细'!K24</x:f>
        <x:v>591.0662666666667</x:v>
      </x:c>
      <x:c r="C24" s="25" t="n">
        <x:f>B24*'计算明细'!B24</x:f>
        <x:v>257.70489226666666</x:v>
      </x:c>
      <x:c r="D24" s="25" t="n">
        <x:v>591.0662666666503</x:v>
      </x:c>
      <x:c r="E24" s="25" t="n">
        <x:v>591.0662666666665</x:v>
      </x:c>
      <x:c r="F24" s="25" t="n">
        <x:v>591.0662666666672</x:v>
      </x:c>
      <x:c r="G24" s="25" t="n">
        <x:v>591.0662666666672</x:v>
      </x:c>
      <x:c r="H24" s="25" t="n">
        <x:v>591.0662666666672</x:v>
      </x:c>
      <x:c r="I24" s="25" t="n">
        <x:v>591.0662666666738</x:v>
      </x:c>
      <x:c r="J24" s="25" t="n">
        <x:v>591.0662666666665</x:v>
      </x:c>
      <x:c r="K24" s="25" t="n">
        <x:v>591.0662666666667</x:v>
      </x:c>
      <x:c r="L24" s="25" t="n">
        <x:v>591.0662666666672</x:v>
      </x:c>
      <x:c r="M24" s="25" t="n">
        <x:v>591.0662666666678</x:v>
      </x:c>
      <x:c r="N24" s="25" t="n">
        <x:v>591.0662666666668</x:v>
      </x:c>
      <x:c r="O24" s="25" t="n">
        <x:v>591.0662666666667</x:v>
      </x:c>
      <x:c r="P24" s="25" t="n">
        <x:v>591.0662666666715</x:v>
      </x:c>
      <x:c r="Q24" s="25" t="n">
        <x:v>591.0662666666558</x:v>
      </x:c>
      <x:c r="R24" s="25" t="n">
        <x:v>591.0662666666666</x:v>
      </x:c>
    </x:row>
    <x:row r="25" ht="14" customHeight="1">
      <x:c r="A25" s="1" t="s">
        <x:v>25</x:v>
      </x:c>
      <x:c r="B25" s="6" t="n">
        <x:f>'计算明细'!K25</x:f>
        <x:v>593.3678333333332</x:v>
      </x:c>
      <x:c r="C25" s="25" t="n">
        <x:f>B25*'计算明细'!B25</x:f>
        <x:v>259.7764374333333</x:v>
      </x:c>
      <x:c r="D25" s="25" t="n">
        <x:v>593.3678333333345</x:v>
      </x:c>
      <x:c r="E25" s="25" t="n">
        <x:v>593.3678333333332</x:v>
      </x:c>
      <x:c r="F25" s="25" t="n">
        <x:v>593.3678333333332</x:v>
      </x:c>
      <x:c r="G25" s="25" t="n">
        <x:v>593.3678333333332</x:v>
      </x:c>
      <x:c r="H25" s="25" t="n">
        <x:v>593.3678333333332</x:v>
      </x:c>
      <x:c r="I25" s="25" t="n">
        <x:v>593.3678333333299</x:v>
      </x:c>
      <x:c r="J25" s="25" t="n">
        <x:v>593.3678333333332</x:v>
      </x:c>
      <x:c r="K25" s="25" t="n">
        <x:v>593.3678333333334</x:v>
      </x:c>
      <x:c r="L25" s="25" t="n">
        <x:v>593.3678333333339</x:v>
      </x:c>
      <x:c r="M25" s="25" t="n">
        <x:v>593.3678333333366</x:v>
      </x:c>
      <x:c r="N25" s="25" t="n">
        <x:v>593.3678333333335</x:v>
      </x:c>
      <x:c r="O25" s="25" t="n">
        <x:v>593.367833333333</x:v>
      </x:c>
      <x:c r="P25" s="25" t="n">
        <x:v>593.3678333333294</x:v>
      </x:c>
      <x:c r="Q25" s="25" t="n">
        <x:v>593.3678333333224</x:v>
      </x:c>
      <x:c r="R25" s="25" t="n">
        <x:v>593.3678333333332</x:v>
      </x:c>
    </x:row>
    <x:row r="26" ht="14" customHeight="1">
      <x:c r="A26" s="1" t="s">
        <x:v>26</x:v>
      </x:c>
      <x:c r="B26" s="6" t="n">
        <x:f>'计算明细'!K26</x:f>
        <x:v>593.6596833333339</x:v>
      </x:c>
      <x:c r="C26" s="25" t="n">
        <x:f>B26*'计算明细'!B26</x:f>
        <x:v>261.26962663500024</x:v>
      </x:c>
      <x:c r="D26" s="25" t="n">
        <x:v>593.6596833333356</x:v>
      </x:c>
      <x:c r="E26" s="25" t="n">
        <x:v>593.6596833333339</x:v>
      </x:c>
      <x:c r="F26" s="25" t="n">
        <x:v>593.6596833333339</x:v>
      </x:c>
      <x:c r="G26" s="25" t="n">
        <x:v>593.6596833333339</x:v>
      </x:c>
      <x:c r="H26" s="25" t="n">
        <x:v>593.6596833333339</x:v>
      </x:c>
      <x:c r="I26" s="25" t="n">
        <x:v>593.6596833333301</x:v>
      </x:c>
      <x:c r="J26" s="25" t="n">
        <x:v>593.6596833333332</x:v>
      </x:c>
      <x:c r="K26" s="25" t="n">
        <x:v>593.6596833333333</x:v>
      </x:c>
      <x:c r="L26" s="25" t="n">
        <x:v>593.659683333334</x:v>
      </x:c>
      <x:c r="M26" s="25" t="n">
        <x:v>593.6596833333335</x:v>
      </x:c>
      <x:c r="N26" s="25" t="n">
        <x:v>593.6596833333335</x:v>
      </x:c>
      <x:c r="O26" s="25" t="n">
        <x:v>593.6596833333333</x:v>
      </x:c>
      <x:c r="P26" s="25" t="n">
        <x:v>593.6596833333294</x:v>
      </x:c>
      <x:c r="Q26" s="25" t="n">
        <x:v>593.6596833333224</x:v>
      </x:c>
      <x:c r="R26" s="25" t="n">
        <x:v>593.6596833333333</x:v>
      </x:c>
    </x:row>
    <x:row r="27" ht="14" customHeight="1">
      <x:c r="A27" s="1" t="s">
        <x:v>27</x:v>
      </x:c>
      <x:c r="B27" s="6" t="n">
        <x:f>'计算明细'!K27</x:f>
        <x:v>592.7863833333338</x:v>
      </x:c>
      <x:c r="C27" s="25" t="n">
        <x:f>B27*'计算明细'!B27</x:f>
        <x:v>260.1739436450002</x:v>
      </x:c>
      <x:c r="D27" s="25" t="n">
        <x:v>592.7863833333345</x:v>
      </x:c>
      <x:c r="E27" s="25" t="n">
        <x:v>592.7863833333339</x:v>
      </x:c>
      <x:c r="F27" s="25" t="n">
        <x:v>592.7863833333338</x:v>
      </x:c>
      <x:c r="G27" s="25" t="n">
        <x:v>592.7863833333338</x:v>
      </x:c>
      <x:c r="H27" s="25" t="n">
        <x:v>592.7863833333338</x:v>
      </x:c>
      <x:c r="I27" s="25" t="n">
        <x:v>592.7863833333301</x:v>
      </x:c>
      <x:c r="J27" s="25" t="n">
        <x:v>592.7863833333332</x:v>
      </x:c>
      <x:c r="K27" s="25" t="n">
        <x:v>592.7863833333333</x:v>
      </x:c>
      <x:c r="L27" s="25" t="n">
        <x:v>592.7863833333338</x:v>
      </x:c>
      <x:c r="M27" s="25" t="n">
        <x:v>592.7863833333306</x:v>
      </x:c>
      <x:c r="N27" s="25" t="n">
        <x:v>592.7863833333336</x:v>
      </x:c>
      <x:c r="O27" s="25" t="n">
        <x:v>592.7863833333338</x:v>
      </x:c>
      <x:c r="P27" s="25" t="n">
        <x:v>592.7863833333295</x:v>
      </x:c>
      <x:c r="Q27" s="25" t="n">
        <x:v>592.7863833333224</x:v>
      </x:c>
      <x:c r="R27" s="25" t="n">
        <x:v>592.7863833333333</x:v>
      </x:c>
    </x:row>
    <x:row r="28" ht="14" customHeight="1">
      <x:c r="A28" s="1" t="s">
        <x:v>28</x:v>
      </x:c>
      <x:c r="B28" s="6" t="n">
        <x:f>'计算明细'!K28</x:f>
        <x:v>593.3378666666672</x:v>
      </x:c>
      <x:c r="C28" s="25" t="n">
        <x:f>B28*'计算明细'!B28</x:f>
        <x:v>258.93264501333357</x:v>
      </x:c>
      <x:c r="D28" s="25" t="n">
        <x:v>593.3378666666695</x:v>
      </x:c>
      <x:c r="E28" s="25" t="n">
        <x:v>593.3378666666672</x:v>
      </x:c>
      <x:c r="F28" s="25" t="n">
        <x:v>593.3378666666672</x:v>
      </x:c>
      <x:c r="G28" s="25" t="n">
        <x:v>593.3378666666672</x:v>
      </x:c>
      <x:c r="H28" s="25" t="n">
        <x:v>593.3378666666672</x:v>
      </x:c>
      <x:c r="I28" s="25" t="n">
        <x:v>593.3378666666636</x:v>
      </x:c>
      <x:c r="J28" s="25" t="n">
        <x:v>593.3378666666665</x:v>
      </x:c>
      <x:c r="K28" s="25" t="n">
        <x:v>593.3378666666667</x:v>
      </x:c>
      <x:c r="L28" s="25" t="n">
        <x:v>593.3378666666672</x:v>
      </x:c>
      <x:c r="M28" s="25" t="n">
        <x:v>593.3378666666664</x:v>
      </x:c>
      <x:c r="N28" s="25" t="n">
        <x:v>593.337866666667</x:v>
      </x:c>
      <x:c r="O28" s="25" t="n">
        <x:v>593.3378666666671</x:v>
      </x:c>
      <x:c r="P28" s="25" t="n">
        <x:v>593.3378666666628</x:v>
      </x:c>
      <x:c r="Q28" s="25" t="n">
        <x:v>593.3378666666558</x:v>
      </x:c>
      <x:c r="R28" s="25" t="n">
        <x:v>593.3378666666666</x:v>
      </x:c>
    </x:row>
    <x:row r="29" ht="14" customHeight="1">
      <x:c r="A29" s="1" t="s">
        <x:v>29</x:v>
      </x:c>
      <x:c r="B29" s="6" t="n">
        <x:f>'计算明细'!K29</x:f>
        <x:v>596.6757666666672</x:v>
      </x:c>
      <x:c r="C29" s="25" t="n">
        <x:f>B29*'计算明细'!B29</x:f>
        <x:v>262.1196642966669</x:v>
      </x:c>
      <x:c r="D29" s="25" t="n">
        <x:v>596.6757666666687</x:v>
      </x:c>
      <x:c r="E29" s="25" t="n">
        <x:v>596.6757666666672</x:v>
      </x:c>
      <x:c r="F29" s="25" t="n">
        <x:v>596.6757666666672</x:v>
      </x:c>
      <x:c r="G29" s="25" t="n">
        <x:v>596.6757666666672</x:v>
      </x:c>
      <x:c r="H29" s="25" t="n">
        <x:v>596.6757666666665</x:v>
      </x:c>
      <x:c r="I29" s="25" t="n">
        <x:v>596.6757666666635</x:v>
      </x:c>
      <x:c r="J29" s="25" t="n">
        <x:v>596.6757666666665</x:v>
      </x:c>
      <x:c r="K29" s="25" t="n">
        <x:v>596.6757666666667</x:v>
      </x:c>
      <x:c r="L29" s="25" t="n">
        <x:v>596.6757666666672</x:v>
      </x:c>
      <x:c r="M29" s="25" t="n">
        <x:v>596.6757666666664</x:v>
      </x:c>
      <x:c r="N29" s="25" t="n">
        <x:v>596.6757666666668</x:v>
      </x:c>
      <x:c r="O29" s="25" t="n">
        <x:v>596.6757666666665</x:v>
      </x:c>
      <x:c r="P29" s="25" t="n">
        <x:v>596.6757666666628</x:v>
      </x:c>
      <x:c r="Q29" s="25" t="n">
        <x:v>596.6757666666799</x:v>
      </x:c>
      <x:c r="R29" s="25" t="n">
        <x:v>596.6757666666666</x:v>
      </x:c>
    </x:row>
    <x:row r="30" ht="14" customHeight="1">
      <x:c r="A30" s="1" t="s">
        <x:v>30</x:v>
      </x:c>
      <x:c r="B30" s="6" t="n">
        <x:f>'计算明细'!K30</x:f>
        <x:v>597.78025</x:v>
      </x:c>
      <x:c r="C30" s="25" t="n">
        <x:f>B30*'计算明细'!B30</x:f>
        <x:v>264.33842655</x:v>
      </x:c>
      <x:c r="D30" s="25" t="n">
        <x:v>597.7802499999837</x:v>
      </x:c>
      <x:c r="E30" s="25" t="n">
        <x:v>597.7802499999998</x:v>
      </x:c>
      <x:c r="F30" s="25" t="n">
        <x:v>597.78025</x:v>
      </x:c>
      <x:c r="G30" s="25" t="n">
        <x:v>597.78025</x:v>
      </x:c>
      <x:c r="H30" s="25" t="n">
        <x:v>597.7802500000022</x:v>
      </x:c>
      <x:c r="I30" s="25" t="n">
        <x:v>597.7802499999971</x:v>
      </x:c>
      <x:c r="J30" s="25" t="n">
        <x:v>597.7802499999999</x:v>
      </x:c>
      <x:c r="K30" s="25" t="n">
        <x:v>597.78025</x:v>
      </x:c>
      <x:c r="L30" s="25" t="n">
        <x:v>597.7802500000005</x:v>
      </x:c>
      <x:c r="M30" s="25" t="n">
        <x:v>597.7802499999998</x:v>
      </x:c>
      <x:c r="N30" s="25" t="n">
        <x:v>597.7802500000003</x:v>
      </x:c>
      <x:c r="O30" s="25" t="n">
        <x:v>597.78025</x:v>
      </x:c>
      <x:c r="P30" s="25" t="n">
        <x:v>597.7802499999962</x:v>
      </x:c>
      <x:c r="Q30" s="25" t="n">
        <x:v>597.7802500000133</x:v>
      </x:c>
      <x:c r="R30" s="25" t="n">
        <x:v>597.78025</x:v>
      </x:c>
    </x:row>
    <x:row r="31" ht="14" customHeight="1">
      <x:c r="A31" s="1" t="s">
        <x:v>31</x:v>
      </x:c>
      <x:c r="B31" s="6" t="n">
        <x:f>'计算明细'!K31</x:f>
        <x:v>595.1624999999997</x:v>
      </x:c>
      <x:c r="C31" s="25" t="n">
        <x:f>B31*'计算明细'!B31</x:f>
        <x:v>261.57391874999985</x:v>
      </x:c>
      <x:c r="D31" s="25" t="n">
        <x:v>595.1625000000207</x:v>
      </x:c>
      <x:c r="E31" s="25" t="n">
        <x:v>595.1624999999997</x:v>
      </x:c>
      <x:c r="F31" s="25" t="n">
        <x:v>595.1624999999997</x:v>
      </x:c>
      <x:c r="G31" s="25" t="n">
        <x:v>595.1624999999999</x:v>
      </x:c>
      <x:c r="H31" s="25" t="n">
        <x:v>595.1624999999997</x:v>
      </x:c>
      <x:c r="I31" s="25" t="n">
        <x:v>595.1624999999999</x:v>
      </x:c>
      <x:c r="J31" s="25" t="n">
        <x:v>595.1624999999999</x:v>
      </x:c>
      <x:c r="K31" s="25" t="n">
        <x:v>595.1625</x:v>
      </x:c>
      <x:c r="L31" s="25" t="n">
        <x:v>595.1625000000005</x:v>
      </x:c>
      <x:c r="M31" s="25" t="n">
        <x:v>595.1624999999997</x:v>
      </x:c>
      <x:c r="N31" s="25" t="n">
        <x:v>595.1625000000001</x:v>
      </x:c>
      <x:c r="O31" s="25" t="n">
        <x:v>595.1624999999997</x:v>
      </x:c>
      <x:c r="P31" s="25" t="n">
        <x:v>595.162499999996</x:v>
      </x:c>
      <x:c r="Q31" s="25" t="n">
        <x:v>595.1625000000133</x:v>
      </x:c>
      <x:c r="R31" s="25" t="n">
        <x:v>595.1624999999999</x:v>
      </x:c>
    </x:row>
    <x:row r="32" ht="14" customHeight="1">
      <x:c r="A32" s="1" t="s">
        <x:v>32</x:v>
      </x:c>
      <x:c r="B32" s="6" t="n">
        <x:f>'计算明细'!K32</x:f>
        <x:v>590.6064999999999</x:v>
      </x:c>
      <x:c r="C32" s="25" t="n">
        <x:f>B32*'计算明细'!B32</x:f>
        <x:v>255.90979644999996</x:v>
      </x:c>
      <x:c r="D32" s="25" t="n">
        <x:v>590.6064999999953</x:v>
      </x:c>
      <x:c r="E32" s="25" t="n">
        <x:v>590.6064999999999</x:v>
      </x:c>
      <x:c r="F32" s="25" t="n">
        <x:v>590.6065000000001</x:v>
      </x:c>
      <x:c r="G32" s="25" t="n">
        <x:v>590.6064999999999</x:v>
      </x:c>
      <x:c r="H32" s="25" t="n">
        <x:v>557.5352147231548</x:v>
      </x:c>
      <x:c r="I32" s="25" t="n">
        <x:v>590.6064999999999</x:v>
      </x:c>
      <x:c r="J32" s="25" t="n">
        <x:v>590.6065</x:v>
      </x:c>
      <x:c r="K32" s="25" t="n">
        <x:v>590.6065000000001</x:v>
      </x:c>
      <x:c r="L32" s="25" t="n">
        <x:v>590.6065000000006</x:v>
      </x:c>
      <x:c r="M32" s="25" t="n">
        <x:v>590.6064999999998</x:v>
      </x:c>
      <x:c r="N32" s="25" t="n">
        <x:v>590.6065000000002</x:v>
      </x:c>
      <x:c r="O32" s="25" t="n">
        <x:v>590.6064999999999</x:v>
      </x:c>
      <x:c r="P32" s="25" t="n">
        <x:v>590.6065000000003</x:v>
      </x:c>
      <x:c r="Q32" s="25" t="n">
        <x:v>590.6065000000133</x:v>
      </x:c>
      <x:c r="R32" s="25" t="n">
        <x:v>590.6065</x:v>
      </x:c>
    </x:row>
    <x:row r="33" ht="14" customHeight="1">
      <x:c r="A33" s="1" t="s">
        <x:v>33</x:v>
      </x:c>
      <x:c r="B33" s="6" t="n">
        <x:f>'计算明细'!K33</x:f>
        <x:v>589.4851833333335</x:v>
      </x:c>
      <x:c r="C33" s="25" t="n">
        <x:f>B33*'计算明细'!B33</x:f>
        <x:v>261.67247288166675</x:v>
      </x:c>
      <x:c r="D33" s="25" t="n">
        <x:v>587.898062156258</x:v>
      </x:c>
      <x:c r="E33" s="25" t="n">
        <x:v>589.4851833333333</x:v>
      </x:c>
      <x:c r="F33" s="25" t="n">
        <x:v>589.4851833333335</x:v>
      </x:c>
      <x:c r="G33" s="25" t="n">
        <x:v>589.4851833333335</x:v>
      </x:c>
      <x:c r="H33" s="25" t="n">
        <x:v>473.080564723165</x:v>
      </x:c>
      <x:c r="I33" s="25" t="n">
        <x:v>589.4851833333332</x:v>
      </x:c>
      <x:c r="J33" s="25" t="n">
        <x:v>589.4851833333333</x:v>
      </x:c>
      <x:c r="K33" s="25" t="n">
        <x:v>589.4851833333329</x:v>
      </x:c>
      <x:c r="L33" s="25" t="n">
        <x:v>589.4851833333339</x:v>
      </x:c>
      <x:c r="M33" s="25" t="n">
        <x:v>589.4851833333332</x:v>
      </x:c>
      <x:c r="N33" s="25" t="n">
        <x:v>589.4851833333257</x:v>
      </x:c>
      <x:c r="O33" s="25" t="n">
        <x:v>589.4851833333315</x:v>
      </x:c>
      <x:c r="P33" s="25" t="n">
        <x:v>589.4851833333337</x:v>
      </x:c>
      <x:c r="Q33" s="25" t="n">
        <x:v>589.4851833333333</x:v>
      </x:c>
      <x:c r="R33" s="25" t="n">
        <x:v>589.4851833333333</x:v>
      </x:c>
    </x:row>
    <x:row r="34" ht="14" customHeight="1">
      <x:c r="A34" s="1" t="s">
        <x:v>34</x:v>
      </x:c>
      <x:c r="B34" s="6" t="n">
        <x:f>'计算明细'!K34</x:f>
        <x:v>413.49324265217416</x:v>
      </x:c>
      <x:c r="C34" s="25" t="n">
        <x:f>B34*'计算明细'!B34</x:f>
        <x:v>177.8434436647001</x:v>
      </x:c>
      <x:c r="D34" s="25" t="n">
        <x:v>410.201662156258</x:v>
      </x:c>
      <x:c r="E34" s="25" t="n">
        <x:v>412.2499088611221</x:v>
      </x:c>
      <x:c r="F34" s="25" t="n">
        <x:v>429.2364601292511</x:v>
      </x:c>
      <x:c r="G34" s="25" t="n">
        <x:v>578.45545</x:v>
      </x:c>
      <x:c r="H34" s="25" t="n">
        <x:v>378.71749805649733</x:v>
      </x:c>
      <x:c r="I34" s="25" t="n">
        <x:v>578.4554499999999</x:v>
      </x:c>
      <x:c r="J34" s="25" t="n">
        <x:v>423.0166710425181</x:v>
      </x:c>
      <x:c r="K34" s="25" t="n">
        <x:v>423.0245870033409</x:v>
      </x:c>
      <x:c r="L34" s="25" t="n">
        <x:v>423.016671052471</x:v>
      </x:c>
      <x:c r="M34" s="25" t="n">
        <x:v>423.0207320764678</x:v>
      </x:c>
      <x:c r="N34" s="25" t="n">
        <x:v>414.1110129572718</x:v>
      </x:c>
      <x:c r="O34" s="25" t="n">
        <x:v>413.4521403602153</x:v>
      </x:c>
      <x:c r="P34" s="25" t="n">
        <x:v>422.21985009986315</x:v>
      </x:c>
      <x:c r="Q34" s="25" t="n">
        <x:v>435.96069686122047</x:v>
      </x:c>
      <x:c r="R34" s="25" t="n">
        <x:v>456.1163444816516</x:v>
      </x:c>
    </x:row>
    <x:row r="35" ht="14" customHeight="1">
      <x:c r="A35" s="1" t="s">
        <x:v>35</x:v>
      </x:c>
      <x:c r="B35" s="6" t="n">
        <x:f>'计算明细'!K35</x:f>
        <x:v>218.69757598550797</x:v>
      </x:c>
      <x:c r="C35" s="25" t="n">
        <x:f>B35*'计算明细'!B35</x:f>
        <x:v>81.20240996341911</x:v>
      </x:c>
      <x:c r="D35" s="25" t="n">
        <x:v>215.40599548959125</x:v>
      </x:c>
      <x:c r="E35" s="25" t="n">
        <x:v>217.45424219445547</x:v>
      </x:c>
      <x:c r="F35" s="25" t="n">
        <x:v>234.44079346258445</x:v>
      </x:c>
      <x:c r="G35" s="25" t="n">
        <x:v>383.6597833333334</x:v>
      </x:c>
      <x:c r="H35" s="25" t="n">
        <x:v>267.25516472316406</x:v>
      </x:c>
      <x:c r="I35" s="25" t="n">
        <x:v>548.7403344373249</x:v>
      </x:c>
      <x:c r="J35" s="25" t="n">
        <x:v>228.22100437585144</x:v>
      </x:c>
      <x:c r="K35" s="25" t="n">
        <x:v>228.22892033667426</x:v>
      </x:c>
      <x:c r="L35" s="25" t="n">
        <x:v>228.2210043858044</x:v>
      </x:c>
      <x:c r="M35" s="25" t="n">
        <x:v>228.22506540980123</x:v>
      </x:c>
      <x:c r="N35" s="25" t="n">
        <x:v>219.31534629060513</x:v>
      </x:c>
      <x:c r="O35" s="25" t="n">
        <x:v>218.65647369354758</x:v>
      </x:c>
      <x:c r="P35" s="25" t="n">
        <x:v>227.4241834331965</x:v>
      </x:c>
      <x:c r="Q35" s="25" t="n">
        <x:v>241.16503019455388</x:v>
      </x:c>
      <x:c r="R35" s="25" t="n">
        <x:v>261.32067781498495</x:v>
      </x:c>
    </x:row>
    <x:row r="36" ht="14" customHeight="1">
      <x:c r="A36" s="1" t="s">
        <x:v>36</x:v>
      </x:c>
      <x:c r="B36" s="6" t="n">
        <x:f>'计算明细'!K36</x:f>
        <x:v>92.84465931884127</x:v>
      </x:c>
      <x:c r="C36" s="25" t="n">
        <x:f>B36*'计算明细'!B36</x:f>
        <x:v>52.995731539194594</x:v>
      </x:c>
      <x:c r="D36" s="25" t="n">
        <x:v>89.55307882292455</x:v>
      </x:c>
      <x:c r="E36" s="25" t="n">
        <x:v>91.60132552778875</x:v>
      </x:c>
      <x:c r="F36" s="25" t="n">
        <x:v>108.58787679591774</x:v>
      </x:c>
      <x:c r="G36" s="25" t="n">
        <x:v>257.8068666666667</x:v>
      </x:c>
      <x:c r="H36" s="25" t="n">
        <x:v>224.73558138983066</x:v>
      </x:c>
      <x:c r="I36" s="25" t="n">
        <x:v>256.2207511039915</x:v>
      </x:c>
      <x:c r="J36" s="25" t="n">
        <x:v>102.36808770918475</x:v>
      </x:c>
      <x:c r="K36" s="25" t="n">
        <x:v>102.37600367000752</x:v>
      </x:c>
      <x:c r="L36" s="25" t="n">
        <x:v>102.3680877191377</x:v>
      </x:c>
      <x:c r="M36" s="25" t="n">
        <x:v>102.37214874313449</x:v>
      </x:c>
      <x:c r="N36" s="25" t="n">
        <x:v>93.46242962393842</x:v>
      </x:c>
      <x:c r="O36" s="25" t="n">
        <x:v>92.80355702687976</x:v>
      </x:c>
      <x:c r="P36" s="25" t="n">
        <x:v>101.57126676652976</x:v>
      </x:c>
      <x:c r="Q36" s="25" t="n">
        <x:v>115.31211352788716</x:v>
      </x:c>
      <x:c r="R36" s="25" t="n">
        <x:v>135.46776114831823</x:v>
      </x:c>
    </x:row>
    <x:row r="37" ht="14" customHeight="1">
      <x:c r="A37" s="1" t="s">
        <x:v>37</x:v>
      </x:c>
      <x:c r="B37" s="6" t="n">
        <x:f>'计算明细'!K37</x:f>
        <x:v>3.2916759855079367</x:v>
      </x:c>
      <x:c r="C37" s="25" t="n">
        <x:f>B37*'计算明细'!B37</x:f>
        <x:v>2.9950959792136715</x:v>
      </x:c>
      <x:c r="D37" s="25" t="n">
        <x:v>0.00009548959177903793</x:v>
      </x:c>
      <x:c r="E37" s="25" t="n">
        <x:v>2.0483421944554223</x:v>
      </x:c>
      <x:c r="F37" s="25" t="n">
        <x:v>19.0348934625844</x:v>
      </x:c>
      <x:c r="G37" s="25" t="n">
        <x:v>168.25388333333336</x:v>
      </x:c>
      <x:c r="H37" s="25" t="n">
        <x:v>218.51593138983066</x:v>
      </x:c>
      <x:c r="I37" s="25" t="n">
        <x:v>0.0011011039915350314</x:v>
      </x:c>
      <x:c r="J37" s="25" t="n">
        <x:v>12.815104375851412</x:v>
      </x:c>
      <x:c r="K37" s="25" t="n">
        <x:v>12.823020336674194</x:v>
      </x:c>
      <x:c r="L37" s="25" t="n">
        <x:v>12.815104385804364</x:v>
      </x:c>
      <x:c r="M37" s="25" t="n">
        <x:v>12.819165409801165</x:v>
      </x:c>
      <x:c r="N37" s="25" t="n">
        <x:v>3.9094462906050844</x:v>
      </x:c>
      <x:c r="O37" s="25" t="n">
        <x:v>3.2505736935466603</x:v>
      </x:c>
      <x:c r="P37" s="25" t="n">
        <x:v>12.018283433196434</x:v>
      </x:c>
      <x:c r="Q37" s="25" t="n">
        <x:v>25.759130194553823</x:v>
      </x:c>
      <x:c r="R37" s="25" t="n">
        <x:v>45.914777814984895</x:v>
      </x:c>
    </x:row>
    <x:row r="38" ht="14" customHeight="1">
      <x:c r="A38" s="1" t="s">
        <x:v>38</x:v>
      </x:c>
      <x:c r="B38" s="6" t="n">
        <x:f>'计算明细'!K38</x:f>
        <x:v>0</x:v>
      </x:c>
      <x:c r="C38" s="25" t="n">
        <x:f>B38*'计算明细'!B38</x:f>
        <x:v>0</x:v>
      </x:c>
      <x:c r="D38" s="25" t="n">
        <x:v>0</x:v>
      </x:c>
      <x:c r="E38" s="25" t="n">
        <x:v>0</x:v>
      </x:c>
      <x:c r="F38" s="25" t="n">
        <x:v>5.737471778706575</x:v>
      </x:c>
      <x:c r="G38" s="25" t="n">
        <x:v>54.48010616453124</x:v>
      </x:c>
      <x:c r="H38" s="25" t="n">
        <x:v>122.38404805648572</x:v>
      </x:c>
      <x:c r="I38" s="25" t="n">
        <x:v>0</x:v>
      </x:c>
      <x:c r="J38" s="25" t="n">
        <x:v>0</x:v>
      </x:c>
      <x:c r="K38" s="25" t="n">
        <x:v>0</x:v>
      </x:c>
      <x:c r="L38" s="25" t="n">
        <x:v>0</x:v>
      </x:c>
      <x:c r="M38" s="25" t="n">
        <x:v>0</x:v>
      </x:c>
      <x:c r="N38" s="25" t="n">
        <x:v>0</x:v>
      </x:c>
      <x:c r="O38" s="25" t="n">
        <x:v>0</x:v>
      </x:c>
      <x:c r="P38" s="25" t="n">
        <x:v>0</x:v>
      </x:c>
      <x:c r="Q38" s="25" t="n">
        <x:v>0</x:v>
      </x:c>
      <x:c r="R38" s="25" t="n">
        <x:v>0</x:v>
      </x:c>
    </x:row>
    <x:row r="39" ht="14" customHeight="1">
      <x:c r="A39" s="1" t="s">
        <x:v>39</x:v>
      </x:c>
      <x:c r="B39" s="6" t="n">
        <x:f>'计算明细'!K39</x:f>
        <x:v>0</x:v>
      </x:c>
      <x:c r="C39" s="25" t="n">
        <x:f>B39*'计算明细'!B39</x:f>
        <x:v>0</x:v>
      </x:c>
      <x:c r="D39" s="25" t="n">
        <x:v>0</x:v>
      </x:c>
      <x:c r="E39" s="25" t="n">
        <x:v>0</x:v>
      </x:c>
      <x:c r="F39" s="25" t="n">
        <x:v>0</x:v>
      </x:c>
      <x:c r="G39" s="25" t="n">
        <x:v>15.528806164531225</x:v>
      </x:c>
      <x:c r="H39" s="25" t="n">
        <x:v>0.09941472315237376</x:v>
      </x:c>
      <x:c r="I39" s="25" t="n">
        <x:v>0</x:v>
      </x:c>
      <x:c r="J39" s="25" t="n">
        <x:v>0</x:v>
      </x:c>
      <x:c r="K39" s="25" t="n">
        <x:v>0</x:v>
      </x:c>
      <x:c r="L39" s="25" t="n">
        <x:v>0</x:v>
      </x:c>
      <x:c r="M39" s="25" t="n">
        <x:v>0</x:v>
      </x:c>
      <x:c r="N39" s="25" t="n">
        <x:v>0</x:v>
      </x:c>
      <x:c r="O39" s="25" t="n">
        <x:v>0</x:v>
      </x:c>
      <x:c r="P39" s="25" t="n">
        <x:v>0</x:v>
      </x:c>
      <x:c r="Q39" s="25" t="n">
        <x:v>0</x:v>
      </x:c>
      <x:c r="R39" s="25" t="n">
        <x:v>0</x:v>
      </x:c>
    </x:row>
    <x:row r="40" ht="14" customHeight="1">
      <x:c r="A40" s="1" t="s">
        <x:v>40</x:v>
      </x:c>
      <x:c r="B40" s="6" t="n">
        <x:f>'计算明细'!K40</x:f>
        <x:v>0</x:v>
      </x:c>
      <x:c r="C40" s="25" t="n">
        <x:f>B40*'计算明细'!B40</x:f>
        <x:v>0</x:v>
      </x:c>
      <x:c r="D40" s="25" t="n">
        <x:v>0</x:v>
      </x:c>
      <x:c r="E40" s="25" t="n">
        <x:v>0</x:v>
      </x:c>
      <x:c r="F40" s="25" t="n">
        <x:v>0</x:v>
      </x:c>
      <x:c r="G40" s="25" t="n">
        <x:v>0</x:v>
      </x:c>
      <x:c r="H40" s="25" t="n">
        <x:v>0</x:v>
      </x:c>
      <x:c r="I40" s="25" t="n">
        <x:v>0</x:v>
      </x:c>
      <x:c r="J40" s="25" t="n">
        <x:v>0</x:v>
      </x:c>
      <x:c r="K40" s="25" t="n">
        <x:v>0</x:v>
      </x:c>
      <x:c r="L40" s="25" t="n">
        <x:v>0</x:v>
      </x:c>
      <x:c r="M40" s="25" t="n">
        <x:v>0</x:v>
      </x:c>
      <x:c r="N40" s="25" t="n">
        <x:v>0</x:v>
      </x:c>
      <x:c r="O40" s="25" t="n">
        <x:v>0</x:v>
      </x:c>
      <x:c r="P40" s="25" t="n">
        <x:v>0</x:v>
      </x:c>
      <x:c r="Q40" s="25" t="n">
        <x:v>0</x:v>
      </x:c>
      <x:c r="R40" s="25" t="n">
        <x:v>0</x:v>
      </x:c>
    </x:row>
    <x:row r="41" ht="14" customHeight="1">
      <x:c r="A41" s="1" t="s">
        <x:v>41</x:v>
      </x:c>
      <x:c r="B41" s="6" t="n">
        <x:f>'计算明细'!K41</x:f>
        <x:v>0</x:v>
      </x:c>
      <x:c r="C41" s="25" t="n">
        <x:f>B41*'计算明细'!B41</x:f>
        <x:v>0</x:v>
      </x:c>
      <x:c r="D41" s="25" t="n">
        <x:v>0</x:v>
      </x:c>
      <x:c r="E41" s="25" t="n">
        <x:v>0</x:v>
      </x:c>
      <x:c r="F41" s="25" t="n">
        <x:v>0</x:v>
      </x:c>
      <x:c r="G41" s="25" t="n">
        <x:v>0</x:v>
      </x:c>
      <x:c r="H41" s="25" t="n">
        <x:v>0</x:v>
      </x:c>
      <x:c r="I41" s="25" t="n">
        <x:v>0</x:v>
      </x:c>
      <x:c r="J41" s="25" t="n">
        <x:v>0</x:v>
      </x:c>
      <x:c r="K41" s="25" t="n">
        <x:v>0</x:v>
      </x:c>
      <x:c r="L41" s="25" t="n">
        <x:v>0</x:v>
      </x:c>
      <x:c r="M41" s="25" t="n">
        <x:v>0</x:v>
      </x:c>
      <x:c r="N41" s="25" t="n">
        <x:v>0</x:v>
      </x:c>
      <x:c r="O41" s="25" t="n">
        <x:v>0</x:v>
      </x:c>
      <x:c r="P41" s="25" t="n">
        <x:v>0</x:v>
      </x:c>
      <x:c r="Q41" s="25" t="n">
        <x:v>0</x:v>
      </x:c>
      <x:c r="R41" s="25" t="n">
        <x:v>0</x:v>
      </x:c>
    </x:row>
    <x:row r="42" ht="14" customHeight="1">
      <x:c r="A42" s="1" t="s">
        <x:v>42</x:v>
      </x:c>
      <x:c r="B42" s="6" t="n">
        <x:f>'计算明细'!K42</x:f>
        <x:v>0</x:v>
      </x:c>
      <x:c r="C42" s="25" t="n">
        <x:f>B42*'计算明细'!B42</x:f>
        <x:v>0</x:v>
      </x:c>
      <x:c r="D42" s="25" t="n">
        <x:v>0</x:v>
      </x:c>
      <x:c r="E42" s="25" t="n">
        <x:v>0</x:v>
      </x:c>
      <x:c r="F42" s="25" t="n">
        <x:v>0</x:v>
      </x:c>
      <x:c r="G42" s="25" t="n">
        <x:v>0</x:v>
      </x:c>
      <x:c r="H42" s="25" t="n">
        <x:v>0</x:v>
      </x:c>
      <x:c r="I42" s="25" t="n">
        <x:v>0</x:v>
      </x:c>
      <x:c r="J42" s="25" t="n">
        <x:v>0</x:v>
      </x:c>
      <x:c r="K42" s="25" t="n">
        <x:v>0</x:v>
      </x:c>
      <x:c r="L42" s="25" t="n">
        <x:v>0</x:v>
      </x:c>
      <x:c r="M42" s="25" t="n">
        <x:v>0</x:v>
      </x:c>
      <x:c r="N42" s="25" t="n">
        <x:v>0</x:v>
      </x:c>
      <x:c r="O42" s="25" t="n">
        <x:v>0</x:v>
      </x:c>
      <x:c r="P42" s="25" t="n">
        <x:v>0</x:v>
      </x:c>
      <x:c r="Q42" s="25" t="n">
        <x:v>0</x:v>
      </x:c>
      <x:c r="R42" s="25" t="n">
        <x:v>0</x:v>
      </x:c>
    </x:row>
    <x:row r="43" ht="14" customHeight="1">
      <x:c r="A43" s="1" t="s">
        <x:v>43</x:v>
      </x:c>
      <x:c r="B43" s="6" t="n">
        <x:f>'计算明细'!K43</x:f>
        <x:v>0</x:v>
      </x:c>
      <x:c r="C43" s="25" t="n">
        <x:f>B43*'计算明细'!B43</x:f>
        <x:v>0</x:v>
      </x:c>
      <x:c r="D43" s="25" t="n">
        <x:v>0</x:v>
      </x:c>
      <x:c r="E43" s="25" t="n">
        <x:v>0</x:v>
      </x:c>
      <x:c r="F43" s="25" t="n">
        <x:v>0</x:v>
      </x:c>
      <x:c r="G43" s="25" t="n">
        <x:v>0</x:v>
      </x:c>
      <x:c r="H43" s="25" t="n">
        <x:v>0</x:v>
      </x:c>
      <x:c r="I43" s="25" t="n">
        <x:v>0</x:v>
      </x:c>
      <x:c r="J43" s="25" t="n">
        <x:v>0</x:v>
      </x:c>
      <x:c r="K43" s="25" t="n">
        <x:v>0</x:v>
      </x:c>
      <x:c r="L43" s="25" t="n">
        <x:v>0</x:v>
      </x:c>
      <x:c r="M43" s="25" t="n">
        <x:v>0</x:v>
      </x:c>
      <x:c r="N43" s="25" t="n">
        <x:v>0</x:v>
      </x:c>
      <x:c r="O43" s="25" t="n">
        <x:v>0</x:v>
      </x:c>
      <x:c r="P43" s="25" t="n">
        <x:v>0</x:v>
      </x:c>
      <x:c r="Q43" s="25" t="n">
        <x:v>0</x:v>
      </x:c>
      <x:c r="R43" s="25" t="n">
        <x:v>0</x:v>
      </x:c>
    </x:row>
    <x:row r="44" ht="14" customHeight="1">
      <x:c r="A44" s="1" t="s">
        <x:v>44</x:v>
      </x:c>
      <x:c r="B44" s="6" t="n">
        <x:f>'计算明细'!K44</x:f>
        <x:v>0</x:v>
      </x:c>
      <x:c r="C44" s="25" t="n">
        <x:f>B44*'计算明细'!B44</x:f>
        <x:v>0</x:v>
      </x:c>
      <x:c r="D44" s="25" t="n">
        <x:v>0</x:v>
      </x:c>
      <x:c r="E44" s="25" t="n">
        <x:v>0</x:v>
      </x:c>
      <x:c r="F44" s="25" t="n">
        <x:v>0</x:v>
      </x:c>
      <x:c r="G44" s="25" t="n">
        <x:v>0</x:v>
      </x:c>
      <x:c r="H44" s="25" t="n">
        <x:v>0</x:v>
      </x:c>
      <x:c r="I44" s="25" t="n">
        <x:v>0</x:v>
      </x:c>
      <x:c r="J44" s="25" t="n">
        <x:v>0</x:v>
      </x:c>
      <x:c r="K44" s="25" t="n">
        <x:v>0</x:v>
      </x:c>
      <x:c r="L44" s="25" t="n">
        <x:v>0</x:v>
      </x:c>
      <x:c r="M44" s="25" t="n">
        <x:v>0</x:v>
      </x:c>
      <x:c r="N44" s="25" t="n">
        <x:v>0</x:v>
      </x:c>
      <x:c r="O44" s="25" t="n">
        <x:v>0</x:v>
      </x:c>
      <x:c r="P44" s="25" t="n">
        <x:v>0</x:v>
      </x:c>
      <x:c r="Q44" s="25" t="n">
        <x:v>0</x:v>
      </x:c>
      <x:c r="R44" s="25" t="n">
        <x:v>0</x:v>
      </x:c>
    </x:row>
    <x:row r="45" ht="14" customHeight="1">
      <x:c r="A45" s="1" t="s">
        <x:v>45</x:v>
      </x:c>
      <x:c r="B45" s="6" t="n">
        <x:f>'计算明细'!K45</x:f>
        <x:v>0</x:v>
      </x:c>
      <x:c r="C45" s="25" t="n">
        <x:f>B45*'计算明细'!B45</x:f>
        <x:v>0</x:v>
      </x:c>
      <x:c r="D45" s="25" t="n">
        <x:v>0</x:v>
      </x:c>
      <x:c r="E45" s="25" t="n">
        <x:v>0</x:v>
      </x:c>
      <x:c r="F45" s="25" t="n">
        <x:v>0</x:v>
      </x:c>
      <x:c r="G45" s="25" t="n">
        <x:v>0</x:v>
      </x:c>
      <x:c r="H45" s="25" t="n">
        <x:v>0</x:v>
      </x:c>
      <x:c r="I45" s="25" t="n">
        <x:v>0</x:v>
      </x:c>
      <x:c r="J45" s="25" t="n">
        <x:v>0</x:v>
      </x:c>
      <x:c r="K45" s="25" t="n">
        <x:v>0</x:v>
      </x:c>
      <x:c r="L45" s="25" t="n">
        <x:v>0</x:v>
      </x:c>
      <x:c r="M45" s="25" t="n">
        <x:v>0</x:v>
      </x:c>
      <x:c r="N45" s="25" t="n">
        <x:v>0</x:v>
      </x:c>
      <x:c r="O45" s="25" t="n">
        <x:v>0</x:v>
      </x:c>
      <x:c r="P45" s="25" t="n">
        <x:v>0</x:v>
      </x:c>
      <x:c r="Q45" s="25" t="n">
        <x:v>0</x:v>
      </x:c>
      <x:c r="R45" s="25" t="n">
        <x:v>0</x:v>
      </x:c>
    </x:row>
    <x:row r="46" ht="14" customHeight="1">
      <x:c r="A46" s="1" t="s">
        <x:v>46</x:v>
      </x:c>
      <x:c r="B46" s="6" t="n">
        <x:f>'计算明细'!K46</x:f>
        <x:v>0</x:v>
      </x:c>
      <x:c r="C46" s="25" t="n">
        <x:f>B46*'计算明细'!B46</x:f>
        <x:v>0</x:v>
      </x:c>
      <x:c r="D46" s="25" t="n">
        <x:v>0</x:v>
      </x:c>
      <x:c r="E46" s="25" t="n">
        <x:v>0</x:v>
      </x:c>
      <x:c r="F46" s="25" t="n">
        <x:v>0</x:v>
      </x:c>
      <x:c r="G46" s="25" t="n">
        <x:v>0</x:v>
      </x:c>
      <x:c r="H46" s="25" t="n">
        <x:v>0</x:v>
      </x:c>
      <x:c r="I46" s="25" t="n">
        <x:v>0</x:v>
      </x:c>
      <x:c r="J46" s="25" t="n">
        <x:v>0</x:v>
      </x:c>
      <x:c r="K46" s="25" t="n">
        <x:v>0</x:v>
      </x:c>
      <x:c r="L46" s="25" t="n">
        <x:v>0</x:v>
      </x:c>
      <x:c r="M46" s="25" t="n">
        <x:v>0</x:v>
      </x:c>
      <x:c r="N46" s="25" t="n">
        <x:v>0</x:v>
      </x:c>
      <x:c r="O46" s="25" t="n">
        <x:v>0</x:v>
      </x:c>
      <x:c r="P46" s="25" t="n">
        <x:v>0</x:v>
      </x:c>
      <x:c r="Q46" s="25" t="n">
        <x:v>0</x:v>
      </x:c>
      <x:c r="R46" s="25" t="n">
        <x:v>0</x:v>
      </x:c>
    </x:row>
    <x:row r="47" ht="14" customHeight="1">
      <x:c r="A47" s="1" t="s">
        <x:v>47</x:v>
      </x:c>
      <x:c r="B47" s="6" t="n">
        <x:f>'计算明细'!K47</x:f>
        <x:v>0</x:v>
      </x:c>
      <x:c r="C47" s="25" t="n">
        <x:f>B47*'计算明细'!B47</x:f>
        <x:v>0</x:v>
      </x:c>
      <x:c r="D47" s="25" t="n">
        <x:v>0</x:v>
      </x:c>
      <x:c r="E47" s="25" t="n">
        <x:v>0</x:v>
      </x:c>
      <x:c r="F47" s="25" t="n">
        <x:v>0</x:v>
      </x:c>
      <x:c r="G47" s="25" t="n">
        <x:v>0</x:v>
      </x:c>
      <x:c r="H47" s="25" t="n">
        <x:v>0</x:v>
      </x:c>
      <x:c r="I47" s="25" t="n">
        <x:v>0</x:v>
      </x:c>
      <x:c r="J47" s="25" t="n">
        <x:v>0</x:v>
      </x:c>
      <x:c r="K47" s="25" t="n">
        <x:v>0</x:v>
      </x:c>
      <x:c r="L47" s="25" t="n">
        <x:v>0</x:v>
      </x:c>
      <x:c r="M47" s="25" t="n">
        <x:v>0</x:v>
      </x:c>
      <x:c r="N47" s="25" t="n">
        <x:v>0</x:v>
      </x:c>
      <x:c r="O47" s="25" t="n">
        <x:v>0</x:v>
      </x:c>
      <x:c r="P47" s="25" t="n">
        <x:v>0</x:v>
      </x:c>
      <x:c r="Q47" s="25" t="n">
        <x:v>0</x:v>
      </x:c>
      <x:c r="R47" s="25" t="n">
        <x:v>0</x:v>
      </x:c>
    </x:row>
    <x:row r="48" ht="14" customHeight="1">
      <x:c r="A48" s="1" t="s">
        <x:v>48</x:v>
      </x:c>
      <x:c r="B48" s="6" t="n">
        <x:f>'计算明细'!K48</x:f>
        <x:v>0</x:v>
      </x:c>
      <x:c r="C48" s="25" t="n">
        <x:f>B48*'计算明细'!B48</x:f>
        <x:v>0</x:v>
      </x:c>
      <x:c r="D48" s="25" t="n">
        <x:v>0</x:v>
      </x:c>
      <x:c r="E48" s="25" t="n">
        <x:v>0</x:v>
      </x:c>
      <x:c r="F48" s="25" t="n">
        <x:v>0</x:v>
      </x:c>
      <x:c r="G48" s="25" t="n">
        <x:v>0</x:v>
      </x:c>
      <x:c r="H48" s="25" t="n">
        <x:v>0</x:v>
      </x:c>
      <x:c r="I48" s="25" t="n">
        <x:v>0</x:v>
      </x:c>
      <x:c r="J48" s="25" t="n">
        <x:v>0</x:v>
      </x:c>
      <x:c r="K48" s="25" t="n">
        <x:v>0</x:v>
      </x:c>
      <x:c r="L48" s="25" t="n">
        <x:v>0</x:v>
      </x:c>
      <x:c r="M48" s="25" t="n">
        <x:v>0</x:v>
      </x:c>
      <x:c r="N48" s="25" t="n">
        <x:v>0</x:v>
      </x:c>
      <x:c r="O48" s="25" t="n">
        <x:v>0</x:v>
      </x:c>
      <x:c r="P48" s="25" t="n">
        <x:v>0</x:v>
      </x:c>
      <x:c r="Q48" s="25" t="n">
        <x:v>0</x:v>
      </x:c>
      <x:c r="R48" s="25" t="n">
        <x:v>0</x:v>
      </x:c>
    </x:row>
    <x:row r="49" ht="14" customHeight="1">
      <x:c r="A49" s="1" t="s">
        <x:v>49</x:v>
      </x:c>
      <x:c r="B49" s="6" t="n">
        <x:f>'计算明细'!K49</x:f>
        <x:v>0</x:v>
      </x:c>
      <x:c r="C49" s="25" t="n">
        <x:f>B49*'计算明细'!B49</x:f>
        <x:v>0</x:v>
      </x:c>
      <x:c r="D49" s="25" t="n">
        <x:v>0</x:v>
      </x:c>
      <x:c r="E49" s="25" t="n">
        <x:v>0</x:v>
      </x:c>
      <x:c r="F49" s="25" t="n">
        <x:v>0</x:v>
      </x:c>
      <x:c r="G49" s="25" t="n">
        <x:v>36.510666666666566</x:v>
      </x:c>
      <x:c r="H49" s="25" t="n">
        <x:v>14.40399999999992</x:v>
      </x:c>
      <x:c r="I49" s="25" t="n">
        <x:v>0</x:v>
      </x:c>
      <x:c r="J49" s="25" t="n">
        <x:v>0</x:v>
      </x:c>
      <x:c r="K49" s="25" t="n">
        <x:v>0</x:v>
      </x:c>
      <x:c r="L49" s="25" t="n">
        <x:v>0</x:v>
      </x:c>
      <x:c r="M49" s="25" t="n">
        <x:v>0</x:v>
      </x:c>
      <x:c r="N49" s="25" t="n">
        <x:v>0</x:v>
      </x:c>
      <x:c r="O49" s="25" t="n">
        <x:v>0</x:v>
      </x:c>
      <x:c r="P49" s="25" t="n">
        <x:v>0</x:v>
      </x:c>
      <x:c r="Q49" s="25" t="n">
        <x:v>0</x:v>
      </x:c>
      <x:c r="R49" s="25" t="n">
        <x:v>0</x:v>
      </x:c>
    </x:row>
    <x:row r="50" ht="14" customHeight="1">
      <x:c r="A50" s="1" t="s">
        <x:v>50</x:v>
      </x:c>
      <x:c r="B50" s="6" t="n">
        <x:f>'计算明细'!K50</x:f>
        <x:v>0</x:v>
      </x:c>
      <x:c r="C50" s="25" t="n">
        <x:f>B50*'计算明细'!B50</x:f>
        <x:v>0</x:v>
      </x:c>
      <x:c r="D50" s="25" t="n">
        <x:v>0</x:v>
      </x:c>
      <x:c r="E50" s="25" t="n">
        <x:v>0</x:v>
      </x:c>
      <x:c r="F50" s="25" t="n">
        <x:v>0</x:v>
      </x:c>
      <x:c r="G50" s="25" t="n">
        <x:v>0</x:v>
      </x:c>
      <x:c r="H50" s="25" t="n">
        <x:v>0</x:v>
      </x:c>
      <x:c r="I50" s="25" t="n">
        <x:v>0</x:v>
      </x:c>
      <x:c r="J50" s="25" t="n">
        <x:v>0</x:v>
      </x:c>
      <x:c r="K50" s="25" t="n">
        <x:v>0</x:v>
      </x:c>
      <x:c r="L50" s="25" t="n">
        <x:v>0</x:v>
      </x:c>
      <x:c r="M50" s="25" t="n">
        <x:v>0</x:v>
      </x:c>
      <x:c r="N50" s="25" t="n">
        <x:v>0</x:v>
      </x:c>
      <x:c r="O50" s="25" t="n">
        <x:v>0</x:v>
      </x:c>
      <x:c r="P50" s="25" t="n">
        <x:v>0</x:v>
      </x:c>
      <x:c r="Q50" s="25" t="n">
        <x:v>0</x:v>
      </x:c>
      <x:c r="R50" s="25" t="n">
        <x:v>0</x:v>
      </x:c>
    </x:row>
    <x:row r="51" ht="14" customHeight="1">
      <x:c r="A51" s="1" t="s">
        <x:v>51</x:v>
      </x:c>
      <x:c r="B51" s="6" t="n">
        <x:f>'计算明细'!K51</x:f>
        <x:v>0</x:v>
      </x:c>
      <x:c r="C51" s="25" t="n">
        <x:f>B51*'计算明细'!B51</x:f>
        <x:v>0</x:v>
      </x:c>
      <x:c r="D51" s="25" t="n">
        <x:v>0</x:v>
      </x:c>
      <x:c r="E51" s="25" t="n">
        <x:v>0</x:v>
      </x:c>
      <x:c r="F51" s="25" t="n">
        <x:v>0</x:v>
      </x:c>
      <x:c r="G51" s="25" t="n">
        <x:v>0</x:v>
      </x:c>
      <x:c r="H51" s="25" t="n">
        <x:v>0</x:v>
      </x:c>
      <x:c r="I51" s="25" t="n">
        <x:v>0</x:v>
      </x:c>
      <x:c r="J51" s="25" t="n">
        <x:v>0</x:v>
      </x:c>
      <x:c r="K51" s="25" t="n">
        <x:v>0</x:v>
      </x:c>
      <x:c r="L51" s="25" t="n">
        <x:v>0</x:v>
      </x:c>
      <x:c r="M51" s="25" t="n">
        <x:v>0</x:v>
      </x:c>
      <x:c r="N51" s="25" t="n">
        <x:v>0</x:v>
      </x:c>
      <x:c r="O51" s="25" t="n">
        <x:v>0</x:v>
      </x:c>
      <x:c r="P51" s="25" t="n">
        <x:v>0</x:v>
      </x:c>
      <x:c r="Q51" s="25" t="n">
        <x:v>0</x:v>
      </x:c>
      <x:c r="R51" s="25" t="n">
        <x:v>0</x:v>
      </x:c>
    </x:row>
    <x:row r="52" ht="14" customHeight="1">
      <x:c r="A52" s="1" t="s">
        <x:v>52</x:v>
      </x:c>
      <x:c r="B52" s="6" t="n">
        <x:f>'计算明细'!K52</x:f>
        <x:v>0</x:v>
      </x:c>
      <x:c r="C52" s="25" t="n">
        <x:f>B52*'计算明细'!B52</x:f>
        <x:v>0</x:v>
      </x:c>
      <x:c r="D52" s="25" t="n">
        <x:v>0</x:v>
      </x:c>
      <x:c r="E52" s="25" t="n">
        <x:v>0</x:v>
      </x:c>
      <x:c r="F52" s="25" t="n">
        <x:v>0</x:v>
      </x:c>
      <x:c r="G52" s="25" t="n">
        <x:v>0</x:v>
      </x:c>
      <x:c r="H52" s="25" t="n">
        <x:v>0</x:v>
      </x:c>
      <x:c r="I52" s="25" t="n">
        <x:v>0</x:v>
      </x:c>
      <x:c r="J52" s="25" t="n">
        <x:v>0</x:v>
      </x:c>
      <x:c r="K52" s="25" t="n">
        <x:v>0</x:v>
      </x:c>
      <x:c r="L52" s="25" t="n">
        <x:v>0</x:v>
      </x:c>
      <x:c r="M52" s="25" t="n">
        <x:v>0</x:v>
      </x:c>
      <x:c r="N52" s="25" t="n">
        <x:v>0</x:v>
      </x:c>
      <x:c r="O52" s="25" t="n">
        <x:v>0</x:v>
      </x:c>
      <x:c r="P52" s="25" t="n">
        <x:v>0</x:v>
      </x:c>
      <x:c r="Q52" s="25" t="n">
        <x:v>0</x:v>
      </x:c>
      <x:c r="R52" s="25" t="n">
        <x:v>0</x:v>
      </x:c>
    </x:row>
    <x:row r="53" ht="14" customHeight="1">
      <x:c r="A53" s="1" t="s">
        <x:v>53</x:v>
      </x:c>
      <x:c r="B53" s="6" t="n">
        <x:f>'计算明细'!K53</x:f>
        <x:v>0</x:v>
      </x:c>
      <x:c r="C53" s="25" t="n">
        <x:f>B53*'计算明细'!B53</x:f>
        <x:v>0</x:v>
      </x:c>
      <x:c r="D53" s="25" t="n">
        <x:v>0</x:v>
      </x:c>
      <x:c r="E53" s="25" t="n">
        <x:v>0</x:v>
      </x:c>
      <x:c r="F53" s="25" t="n">
        <x:v>0</x:v>
      </x:c>
      <x:c r="G53" s="25" t="n">
        <x:v>0</x:v>
      </x:c>
      <x:c r="H53" s="25" t="n">
        <x:v>0</x:v>
      </x:c>
      <x:c r="I53" s="25" t="n">
        <x:v>0</x:v>
      </x:c>
      <x:c r="J53" s="25" t="n">
        <x:v>0</x:v>
      </x:c>
      <x:c r="K53" s="25" t="n">
        <x:v>0</x:v>
      </x:c>
      <x:c r="L53" s="25" t="n">
        <x:v>0</x:v>
      </x:c>
      <x:c r="M53" s="25" t="n">
        <x:v>0</x:v>
      </x:c>
      <x:c r="N53" s="25" t="n">
        <x:v>0</x:v>
      </x:c>
      <x:c r="O53" s="25" t="n">
        <x:v>0</x:v>
      </x:c>
      <x:c r="P53" s="25" t="n">
        <x:v>0</x:v>
      </x:c>
      <x:c r="Q53" s="25" t="n">
        <x:v>0</x:v>
      </x:c>
      <x:c r="R53" s="25" t="n">
        <x:v>0</x:v>
      </x:c>
    </x:row>
    <x:row r="54" ht="14" customHeight="1">
      <x:c r="A54" s="1" t="s">
        <x:v>54</x:v>
      </x:c>
      <x:c r="B54" s="6" t="n">
        <x:f>'计算明细'!K54</x:f>
        <x:v>0</x:v>
      </x:c>
      <x:c r="C54" s="25" t="n">
        <x:f>B54*'计算明细'!B54</x:f>
        <x:v>0</x:v>
      </x:c>
      <x:c r="D54" s="25" t="n">
        <x:v>0</x:v>
      </x:c>
      <x:c r="E54" s="25" t="n">
        <x:v>0</x:v>
      </x:c>
      <x:c r="F54" s="25" t="n">
        <x:v>0</x:v>
      </x:c>
      <x:c r="G54" s="25" t="n">
        <x:v>0</x:v>
      </x:c>
      <x:c r="H54" s="25" t="n">
        <x:v>0</x:v>
      </x:c>
      <x:c r="I54" s="25" t="n">
        <x:v>0</x:v>
      </x:c>
      <x:c r="J54" s="25" t="n">
        <x:v>0</x:v>
      </x:c>
      <x:c r="K54" s="25" t="n">
        <x:v>0</x:v>
      </x:c>
      <x:c r="L54" s="25" t="n">
        <x:v>0</x:v>
      </x:c>
      <x:c r="M54" s="25" t="n">
        <x:v>0</x:v>
      </x:c>
      <x:c r="N54" s="25" t="n">
        <x:v>0</x:v>
      </x:c>
      <x:c r="O54" s="25" t="n">
        <x:v>0</x:v>
      </x:c>
      <x:c r="P54" s="25" t="n">
        <x:v>0</x:v>
      </x:c>
      <x:c r="Q54" s="25" t="n">
        <x:v>0</x:v>
      </x:c>
      <x:c r="R54" s="25" t="n">
        <x:v>0</x:v>
      </x:c>
    </x:row>
    <x:row r="55" ht="14" customHeight="1">
      <x:c r="A55" s="1" t="s">
        <x:v>55</x:v>
      </x:c>
      <x:c r="B55" s="6" t="n">
        <x:f>'计算明细'!K55</x:f>
        <x:v>0</x:v>
      </x:c>
      <x:c r="C55" s="25" t="n">
        <x:f>B55*'计算明细'!B55</x:f>
        <x:v>0</x:v>
      </x:c>
      <x:c r="D55" s="25" t="n">
        <x:v>0</x:v>
      </x:c>
      <x:c r="E55" s="25" t="n">
        <x:v>0</x:v>
      </x:c>
      <x:c r="F55" s="25" t="n">
        <x:v>0</x:v>
      </x:c>
      <x:c r="G55" s="25" t="n">
        <x:v>0</x:v>
      </x:c>
      <x:c r="H55" s="25" t="n">
        <x:v>0</x:v>
      </x:c>
      <x:c r="I55" s="25" t="n">
        <x:v>0</x:v>
      </x:c>
      <x:c r="J55" s="25" t="n">
        <x:v>0</x:v>
      </x:c>
      <x:c r="K55" s="25" t="n">
        <x:v>0</x:v>
      </x:c>
      <x:c r="L55" s="25" t="n">
        <x:v>0</x:v>
      </x:c>
      <x:c r="M55" s="25" t="n">
        <x:v>0</x:v>
      </x:c>
      <x:c r="N55" s="25" t="n">
        <x:v>0</x:v>
      </x:c>
      <x:c r="O55" s="25" t="n">
        <x:v>0</x:v>
      </x:c>
      <x:c r="P55" s="25" t="n">
        <x:v>0</x:v>
      </x:c>
      <x:c r="Q55" s="25" t="n">
        <x:v>0</x:v>
      </x:c>
      <x:c r="R55" s="25" t="n">
        <x:v>0</x:v>
      </x:c>
    </x:row>
    <x:row r="56" ht="14" customHeight="1">
      <x:c r="A56" s="1" t="s">
        <x:v>56</x:v>
      </x:c>
      <x:c r="B56" s="6" t="n">
        <x:f>'计算明细'!K56</x:f>
        <x:v>0</x:v>
      </x:c>
      <x:c r="C56" s="25" t="n">
        <x:f>B56*'计算明细'!B56</x:f>
        <x:v>0</x:v>
      </x:c>
      <x:c r="D56" s="25" t="n">
        <x:v>0</x:v>
      </x:c>
      <x:c r="E56" s="25" t="n">
        <x:v>0</x:v>
      </x:c>
      <x:c r="F56" s="25" t="n">
        <x:v>0</x:v>
      </x:c>
      <x:c r="G56" s="25" t="n">
        <x:v>0</x:v>
      </x:c>
      <x:c r="H56" s="25" t="n">
        <x:v>0</x:v>
      </x:c>
      <x:c r="I56" s="25" t="n">
        <x:v>0</x:v>
      </x:c>
      <x:c r="J56" s="25" t="n">
        <x:v>0</x:v>
      </x:c>
      <x:c r="K56" s="25" t="n">
        <x:v>0</x:v>
      </x:c>
      <x:c r="L56" s="25" t="n">
        <x:v>0</x:v>
      </x:c>
      <x:c r="M56" s="25" t="n">
        <x:v>0</x:v>
      </x:c>
      <x:c r="N56" s="25" t="n">
        <x:v>0</x:v>
      </x:c>
      <x:c r="O56" s="25" t="n">
        <x:v>0</x:v>
      </x:c>
      <x:c r="P56" s="25" t="n">
        <x:v>0</x:v>
      </x:c>
      <x:c r="Q56" s="25" t="n">
        <x:v>0</x:v>
      </x:c>
      <x:c r="R56" s="25" t="n">
        <x:v>0</x:v>
      </x:c>
    </x:row>
    <x:row r="57" ht="14" customHeight="1">
      <x:c r="A57" s="1" t="s">
        <x:v>57</x:v>
      </x:c>
      <x:c r="B57" s="6" t="n">
        <x:f>'计算明细'!K57</x:f>
        <x:v>0</x:v>
      </x:c>
      <x:c r="C57" s="25" t="n">
        <x:f>B57*'计算明细'!B57</x:f>
        <x:v>0</x:v>
      </x:c>
      <x:c r="D57" s="25" t="n">
        <x:v>0</x:v>
      </x:c>
      <x:c r="E57" s="25" t="n">
        <x:v>0</x:v>
      </x:c>
      <x:c r="F57" s="25" t="n">
        <x:v>0</x:v>
      </x:c>
      <x:c r="G57" s="25" t="n">
        <x:v>0</x:v>
      </x:c>
      <x:c r="H57" s="25" t="n">
        <x:v>0</x:v>
      </x:c>
      <x:c r="I57" s="25" t="n">
        <x:v>0</x:v>
      </x:c>
      <x:c r="J57" s="25" t="n">
        <x:v>0</x:v>
      </x:c>
      <x:c r="K57" s="25" t="n">
        <x:v>0</x:v>
      </x:c>
      <x:c r="L57" s="25" t="n">
        <x:v>0</x:v>
      </x:c>
      <x:c r="M57" s="25" t="n">
        <x:v>0</x:v>
      </x:c>
      <x:c r="N57" s="25" t="n">
        <x:v>0</x:v>
      </x:c>
      <x:c r="O57" s="25" t="n">
        <x:v>0</x:v>
      </x:c>
      <x:c r="P57" s="25" t="n">
        <x:v>0</x:v>
      </x:c>
      <x:c r="Q57" s="25" t="n">
        <x:v>0</x:v>
      </x:c>
      <x:c r="R57" s="25" t="n">
        <x:v>0</x:v>
      </x:c>
    </x:row>
    <x:row r="58" ht="14" customHeight="1">
      <x:c r="A58" s="1" t="s">
        <x:v>58</x:v>
      </x:c>
      <x:c r="B58" s="6" t="n">
        <x:f>'计算明细'!K58</x:f>
        <x:v>0</x:v>
      </x:c>
      <x:c r="C58" s="25" t="n">
        <x:f>B58*'计算明细'!B58</x:f>
        <x:v>0</x:v>
      </x:c>
      <x:c r="D58" s="25" t="n">
        <x:v>0</x:v>
      </x:c>
      <x:c r="E58" s="25" t="n">
        <x:v>0</x:v>
      </x:c>
      <x:c r="F58" s="25" t="n">
        <x:v>0</x:v>
      </x:c>
      <x:c r="G58" s="25" t="n">
        <x:v>0</x:v>
      </x:c>
      <x:c r="H58" s="25" t="n">
        <x:v>0</x:v>
      </x:c>
      <x:c r="I58" s="25" t="n">
        <x:v>0</x:v>
      </x:c>
      <x:c r="J58" s="25" t="n">
        <x:v>0</x:v>
      </x:c>
      <x:c r="K58" s="25" t="n">
        <x:v>0</x:v>
      </x:c>
      <x:c r="L58" s="25" t="n">
        <x:v>0</x:v>
      </x:c>
      <x:c r="M58" s="25" t="n">
        <x:v>0</x:v>
      </x:c>
      <x:c r="N58" s="25" t="n">
        <x:v>0</x:v>
      </x:c>
      <x:c r="O58" s="25" t="n">
        <x:v>0</x:v>
      </x:c>
      <x:c r="P58" s="25" t="n">
        <x:v>0</x:v>
      </x:c>
      <x:c r="Q58" s="25" t="n">
        <x:v>0</x:v>
      </x:c>
      <x:c r="R58" s="25" t="n">
        <x:v>0</x:v>
      </x:c>
    </x:row>
    <x:row r="59" ht="14" customHeight="1">
      <x:c r="A59" s="1" t="s">
        <x:v>59</x:v>
      </x:c>
      <x:c r="B59" s="6" t="n">
        <x:f>'计算明细'!K59</x:f>
        <x:v>0</x:v>
      </x:c>
      <x:c r="C59" s="25" t="n">
        <x:f>B59*'计算明细'!B59</x:f>
        <x:v>0</x:v>
      </x:c>
      <x:c r="D59" s="25" t="n">
        <x:v>0</x:v>
      </x:c>
      <x:c r="E59" s="25" t="n">
        <x:v>0</x:v>
      </x:c>
      <x:c r="F59" s="25" t="n">
        <x:v>0</x:v>
      </x:c>
      <x:c r="G59" s="25" t="n">
        <x:v>0</x:v>
      </x:c>
      <x:c r="H59" s="25" t="n">
        <x:v>0</x:v>
      </x:c>
      <x:c r="I59" s="25" t="n">
        <x:v>0</x:v>
      </x:c>
      <x:c r="J59" s="25" t="n">
        <x:v>0</x:v>
      </x:c>
      <x:c r="K59" s="25" t="n">
        <x:v>0</x:v>
      </x:c>
      <x:c r="L59" s="25" t="n">
        <x:v>0</x:v>
      </x:c>
      <x:c r="M59" s="25" t="n">
        <x:v>0</x:v>
      </x:c>
      <x:c r="N59" s="25" t="n">
        <x:v>0</x:v>
      </x:c>
      <x:c r="O59" s="25" t="n">
        <x:v>0</x:v>
      </x:c>
      <x:c r="P59" s="25" t="n">
        <x:v>0</x:v>
      </x:c>
      <x:c r="Q59" s="25" t="n">
        <x:v>0</x:v>
      </x:c>
      <x:c r="R59" s="25" t="n">
        <x:v>0</x:v>
      </x:c>
    </x:row>
    <x:row r="60" ht="14" customHeight="1">
      <x:c r="A60" s="1" t="s">
        <x:v>60</x:v>
      </x:c>
      <x:c r="B60" s="6" t="n">
        <x:f>'计算明细'!K60</x:f>
        <x:v>0</x:v>
      </x:c>
      <x:c r="C60" s="25" t="n">
        <x:f>B60*'计算明细'!B60</x:f>
        <x:v>0</x:v>
      </x:c>
      <x:c r="D60" s="25" t="n">
        <x:v>0</x:v>
      </x:c>
      <x:c r="E60" s="25" t="n">
        <x:v>0</x:v>
      </x:c>
      <x:c r="F60" s="25" t="n">
        <x:v>0</x:v>
      </x:c>
      <x:c r="G60" s="25" t="n">
        <x:v>0</x:v>
      </x:c>
      <x:c r="H60" s="25" t="n">
        <x:v>0</x:v>
      </x:c>
      <x:c r="I60" s="25" t="n">
        <x:v>0</x:v>
      </x:c>
      <x:c r="J60" s="25" t="n">
        <x:v>0</x:v>
      </x:c>
      <x:c r="K60" s="25" t="n">
        <x:v>0</x:v>
      </x:c>
      <x:c r="L60" s="25" t="n">
        <x:v>0</x:v>
      </x:c>
      <x:c r="M60" s="25" t="n">
        <x:v>0</x:v>
      </x:c>
      <x:c r="N60" s="25" t="n">
        <x:v>0</x:v>
      </x:c>
      <x:c r="O60" s="25" t="n">
        <x:v>0</x:v>
      </x:c>
      <x:c r="P60" s="25" t="n">
        <x:v>0</x:v>
      </x:c>
      <x:c r="Q60" s="25" t="n">
        <x:v>0</x:v>
      </x:c>
      <x:c r="R60" s="25" t="n">
        <x:v>0</x:v>
      </x:c>
    </x:row>
    <x:row r="61" ht="14" customHeight="1">
      <x:c r="A61" s="1" t="s">
        <x:v>61</x:v>
      </x:c>
      <x:c r="B61" s="6" t="n">
        <x:f>'计算明细'!K61</x:f>
        <x:v>0</x:v>
      </x:c>
      <x:c r="C61" s="25" t="n">
        <x:f>B61*'计算明细'!B61</x:f>
        <x:v>0</x:v>
      </x:c>
      <x:c r="D61" s="25" t="n">
        <x:v>0</x:v>
      </x:c>
      <x:c r="E61" s="25" t="n">
        <x:v>0</x:v>
      </x:c>
      <x:c r="F61" s="25" t="n">
        <x:v>0</x:v>
      </x:c>
      <x:c r="G61" s="25" t="n">
        <x:v>0</x:v>
      </x:c>
      <x:c r="H61" s="25" t="n">
        <x:v>0</x:v>
      </x:c>
      <x:c r="I61" s="25" t="n">
        <x:v>0</x:v>
      </x:c>
      <x:c r="J61" s="25" t="n">
        <x:v>0</x:v>
      </x:c>
      <x:c r="K61" s="25" t="n">
        <x:v>0</x:v>
      </x:c>
      <x:c r="L61" s="25" t="n">
        <x:v>0</x:v>
      </x:c>
      <x:c r="M61" s="25" t="n">
        <x:v>0</x:v>
      </x:c>
      <x:c r="N61" s="25" t="n">
        <x:v>0</x:v>
      </x:c>
      <x:c r="O61" s="25" t="n">
        <x:v>0</x:v>
      </x:c>
      <x:c r="P61" s="25" t="n">
        <x:v>0</x:v>
      </x:c>
      <x:c r="Q61" s="25" t="n">
        <x:v>0</x:v>
      </x:c>
      <x:c r="R61" s="25" t="n">
        <x:v>0</x:v>
      </x:c>
    </x:row>
    <x:row r="62" ht="14" customHeight="1">
      <x:c r="A62" s="1" t="s">
        <x:v>62</x:v>
      </x:c>
      <x:c r="B62" s="6" t="n">
        <x:f>'计算明细'!K62</x:f>
        <x:v>0</x:v>
      </x:c>
      <x:c r="C62" s="25" t="n">
        <x:f>B62*'计算明细'!B62</x:f>
        <x:v>0</x:v>
      </x:c>
      <x:c r="D62" s="25" t="n">
        <x:v>0</x:v>
      </x:c>
      <x:c r="E62" s="25" t="n">
        <x:v>0</x:v>
      </x:c>
      <x:c r="F62" s="25" t="n">
        <x:v>0</x:v>
      </x:c>
      <x:c r="G62" s="25" t="n">
        <x:v>0</x:v>
      </x:c>
      <x:c r="H62" s="25" t="n">
        <x:v>0</x:v>
      </x:c>
      <x:c r="I62" s="25" t="n">
        <x:v>0</x:v>
      </x:c>
      <x:c r="J62" s="25" t="n">
        <x:v>0</x:v>
      </x:c>
      <x:c r="K62" s="25" t="n">
        <x:v>0</x:v>
      </x:c>
      <x:c r="L62" s="25" t="n">
        <x:v>0</x:v>
      </x:c>
      <x:c r="M62" s="25" t="n">
        <x:v>0</x:v>
      </x:c>
      <x:c r="N62" s="25" t="n">
        <x:v>0</x:v>
      </x:c>
      <x:c r="O62" s="25" t="n">
        <x:v>0</x:v>
      </x:c>
      <x:c r="P62" s="25" t="n">
        <x:v>0</x:v>
      </x:c>
      <x:c r="Q62" s="25" t="n">
        <x:v>0</x:v>
      </x:c>
      <x:c r="R62" s="25" t="n">
        <x:v>0</x:v>
      </x:c>
    </x:row>
    <x:row r="63" ht="14" customHeight="1">
      <x:c r="A63" s="1" t="s">
        <x:v>63</x:v>
      </x:c>
      <x:c r="B63" s="6" t="n">
        <x:f>'计算明细'!K63</x:f>
        <x:v>0</x:v>
      </x:c>
      <x:c r="C63" s="25" t="n">
        <x:f>B63*'计算明细'!B63</x:f>
        <x:v>0</x:v>
      </x:c>
      <x:c r="D63" s="25" t="n">
        <x:v>0</x:v>
      </x:c>
      <x:c r="E63" s="25" t="n">
        <x:v>0</x:v>
      </x:c>
      <x:c r="F63" s="25" t="n">
        <x:v>0</x:v>
      </x:c>
      <x:c r="G63" s="25" t="n">
        <x:v>0</x:v>
      </x:c>
      <x:c r="H63" s="25" t="n">
        <x:v>0</x:v>
      </x:c>
      <x:c r="I63" s="25" t="n">
        <x:v>0</x:v>
      </x:c>
      <x:c r="J63" s="25" t="n">
        <x:v>0</x:v>
      </x:c>
      <x:c r="K63" s="25" t="n">
        <x:v>0</x:v>
      </x:c>
      <x:c r="L63" s="25" t="n">
        <x:v>0</x:v>
      </x:c>
      <x:c r="M63" s="25" t="n">
        <x:v>0</x:v>
      </x:c>
      <x:c r="N63" s="25" t="n">
        <x:v>0</x:v>
      </x:c>
      <x:c r="O63" s="25" t="n">
        <x:v>0</x:v>
      </x:c>
      <x:c r="P63" s="25" t="n">
        <x:v>0</x:v>
      </x:c>
      <x:c r="Q63" s="25" t="n">
        <x:v>0</x:v>
      </x:c>
      <x:c r="R63" s="25" t="n">
        <x:v>0</x:v>
      </x:c>
    </x:row>
    <x:row r="64" ht="14" customHeight="1">
      <x:c r="A64" s="1" t="s">
        <x:v>64</x:v>
      </x:c>
      <x:c r="B64" s="6" t="n">
        <x:f>'计算明细'!K64</x:f>
        <x:v>0</x:v>
      </x:c>
      <x:c r="C64" s="25" t="n">
        <x:f>B64*'计算明细'!B64</x:f>
        <x:v>0</x:v>
      </x:c>
      <x:c r="D64" s="25" t="n">
        <x:v>0</x:v>
      </x:c>
      <x:c r="E64" s="25" t="n">
        <x:v>0</x:v>
      </x:c>
      <x:c r="F64" s="25" t="n">
        <x:v>0</x:v>
      </x:c>
      <x:c r="G64" s="25" t="n">
        <x:v>0</x:v>
      </x:c>
      <x:c r="H64" s="25" t="n">
        <x:v>0</x:v>
      </x:c>
      <x:c r="I64" s="25" t="n">
        <x:v>0</x:v>
      </x:c>
      <x:c r="J64" s="25" t="n">
        <x:v>0</x:v>
      </x:c>
      <x:c r="K64" s="25" t="n">
        <x:v>0</x:v>
      </x:c>
      <x:c r="L64" s="25" t="n">
        <x:v>0</x:v>
      </x:c>
      <x:c r="M64" s="25" t="n">
        <x:v>0</x:v>
      </x:c>
      <x:c r="N64" s="25" t="n">
        <x:v>0</x:v>
      </x:c>
      <x:c r="O64" s="25" t="n">
        <x:v>0</x:v>
      </x:c>
      <x:c r="P64" s="25" t="n">
        <x:v>0</x:v>
      </x:c>
      <x:c r="Q64" s="25" t="n">
        <x:v>0</x:v>
      </x:c>
      <x:c r="R64" s="25" t="n">
        <x:v>0</x:v>
      </x:c>
    </x:row>
    <x:row r="65" ht="14" customHeight="1">
      <x:c r="A65" s="1" t="s">
        <x:v>65</x:v>
      </x:c>
      <x:c r="B65" s="6" t="n">
        <x:f>'计算明细'!K65</x:f>
        <x:v>0</x:v>
      </x:c>
      <x:c r="C65" s="25" t="n">
        <x:f>B65*'计算明细'!B65</x:f>
        <x:v>0</x:v>
      </x:c>
      <x:c r="D65" s="25" t="n">
        <x:v>0</x:v>
      </x:c>
      <x:c r="E65" s="25" t="n">
        <x:v>0</x:v>
      </x:c>
      <x:c r="F65" s="25" t="n">
        <x:v>0</x:v>
      </x:c>
      <x:c r="G65" s="25" t="n">
        <x:v>0</x:v>
      </x:c>
      <x:c r="H65" s="25" t="n">
        <x:v>0</x:v>
      </x:c>
      <x:c r="I65" s="25" t="n">
        <x:v>0</x:v>
      </x:c>
      <x:c r="J65" s="25" t="n">
        <x:v>0</x:v>
      </x:c>
      <x:c r="K65" s="25" t="n">
        <x:v>0</x:v>
      </x:c>
      <x:c r="L65" s="25" t="n">
        <x:v>0</x:v>
      </x:c>
      <x:c r="M65" s="25" t="n">
        <x:v>0</x:v>
      </x:c>
      <x:c r="N65" s="25" t="n">
        <x:v>0</x:v>
      </x:c>
      <x:c r="O65" s="25" t="n">
        <x:v>0</x:v>
      </x:c>
      <x:c r="P65" s="25" t="n">
        <x:v>0</x:v>
      </x:c>
      <x:c r="Q65" s="25" t="n">
        <x:v>0</x:v>
      </x:c>
      <x:c r="R65" s="25" t="n">
        <x:v>0</x:v>
      </x:c>
    </x:row>
    <x:row r="66" ht="14" customHeight="1">
      <x:c r="A66" s="1" t="s">
        <x:v>66</x:v>
      </x:c>
      <x:c r="B66" s="6" t="n">
        <x:f>'计算明细'!K66</x:f>
        <x:v>0</x:v>
      </x:c>
      <x:c r="C66" s="25" t="n">
        <x:f>B66*'计算明细'!B66</x:f>
        <x:v>0</x:v>
      </x:c>
      <x:c r="D66" s="25" t="n">
        <x:v>0</x:v>
      </x:c>
      <x:c r="E66" s="25" t="n">
        <x:v>0</x:v>
      </x:c>
      <x:c r="F66" s="25" t="n">
        <x:v>0</x:v>
      </x:c>
      <x:c r="G66" s="25" t="n">
        <x:v>0</x:v>
      </x:c>
      <x:c r="H66" s="25" t="n">
        <x:v>50.78826588441008</x:v>
      </x:c>
      <x:c r="I66" s="25" t="n">
        <x:v>0</x:v>
      </x:c>
      <x:c r="J66" s="25" t="n">
        <x:v>0</x:v>
      </x:c>
      <x:c r="K66" s="25" t="n">
        <x:v>0</x:v>
      </x:c>
      <x:c r="L66" s="25" t="n">
        <x:v>0</x:v>
      </x:c>
      <x:c r="M66" s="25" t="n">
        <x:v>0</x:v>
      </x:c>
      <x:c r="N66" s="25" t="n">
        <x:v>0</x:v>
      </x:c>
      <x:c r="O66" s="25" t="n">
        <x:v>0</x:v>
      </x:c>
      <x:c r="P66" s="25" t="n">
        <x:v>0</x:v>
      </x:c>
      <x:c r="Q66" s="25" t="n">
        <x:v>0</x:v>
      </x:c>
      <x:c r="R66" s="25" t="n">
        <x:v>0</x:v>
      </x:c>
    </x:row>
    <x:row r="67" ht="14" customHeight="1">
      <x:c r="A67" s="1" t="s">
        <x:v>67</x:v>
      </x:c>
      <x:c r="B67" s="6" t="n">
        <x:f>'计算明细'!K67</x:f>
        <x:v>0</x:v>
      </x:c>
      <x:c r="C67" s="25" t="n">
        <x:f>B67*'计算明细'!B67</x:f>
        <x:v>0</x:v>
      </x:c>
      <x:c r="D67" s="25" t="n">
        <x:v>103.17394390045413</x:v>
      </x:c>
      <x:c r="E67" s="25" t="n">
        <x:v>1.0005865678884522</x:v>
      </x:c>
      <x:c r="F67" s="25" t="n">
        <x:v>148.06353333333314</x:v>
      </x:c>
      <x:c r="G67" s="25" t="n">
        <x:v>148.06353333333314</x:v>
      </x:c>
      <x:c r="H67" s="25" t="n">
        <x:v>115.51846588440988</x:v>
      </x:c>
      <x:c r="I67" s="25" t="n">
        <x:v>0</x:v>
      </x:c>
      <x:c r="J67" s="25" t="n">
        <x:v>41.979631118261736</x:v>
      </x:c>
      <x:c r="K67" s="25" t="n">
        <x:v>136.76669825103923</x:v>
      </x:c>
      <x:c r="L67" s="25" t="n">
        <x:v>41.048383346104586</x:v>
      </x:c>
      <x:c r="M67" s="25" t="n">
        <x:v>134.19554862422746</x:v>
      </x:c>
      <x:c r="N67" s="25" t="n">
        <x:v>0</x:v>
      </x:c>
      <x:c r="O67" s="25" t="n">
        <x:v>0</x:v>
      </x:c>
      <x:c r="P67" s="25" t="n">
        <x:v>0</x:v>
      </x:c>
      <x:c r="Q67" s="25" t="n">
        <x:v>0</x:v>
      </x:c>
      <x:c r="R67" s="25" t="n">
        <x:v>0</x:v>
      </x:c>
    </x:row>
    <x:row r="68" ht="14" customHeight="1">
      <x:c r="A68" s="1" t="s">
        <x:v>68</x:v>
      </x:c>
      <x:c r="B68" s="6" t="n">
        <x:f>'计算明细'!K68</x:f>
        <x:v>152.38275121980058</x:v>
      </x:c>
      <x:c r="C68" s="25" t="n">
        <x:f>B68*'计算明细'!B68</x:f>
        <x:v>71.04083861867103</x:v>
      </x:c>
      <x:c r="D68" s="25" t="n">
        <x:v>255.68744390045416</x:v>
      </x:c>
      <x:c r="E68" s="25" t="n">
        <x:v>153.51408656788846</x:v>
      </x:c>
      <x:c r="F68" s="25" t="n">
        <x:v>300.57703333333313</x:v>
      </x:c>
      <x:c r="G68" s="25" t="n">
        <x:v>300.57703333333313</x:v>
      </x:c>
      <x:c r="H68" s="25" t="n">
        <x:v>184.69863255107657</x:v>
      </x:c>
      <x:c r="I68" s="25" t="n">
        <x:v>14.46911666666665</x:v>
      </x:c>
      <x:c r="J68" s="25" t="n">
        <x:v>194.49313111826177</x:v>
      </x:c>
      <x:c r="K68" s="25" t="n">
        <x:v>289.2801982510392</x:v>
      </x:c>
      <x:c r="L68" s="25" t="n">
        <x:v>193.56188334610437</x:v>
      </x:c>
      <x:c r="M68" s="25" t="n">
        <x:v>286.7090486242275</x:v>
      </x:c>
      <x:c r="N68" s="25" t="n">
        <x:v>151.69633976970502</x:v>
      </x:c>
      <x:c r="O68" s="25" t="n">
        <x:v>152.46556756582305</x:v>
      </x:c>
      <x:c r="P68" s="25" t="n">
        <x:v>142.68652072237705</x:v>
      </x:c>
      <x:c r="Q68" s="25" t="n">
        <x:v>127.41891320975158</x:v>
      </x:c>
      <x:c r="R68" s="25" t="n">
        <x:v>122.88202640294926</x:v>
      </x:c>
    </x:row>
    <x:row r="69" ht="14" customHeight="1">
      <x:c r="A69" s="1" t="s">
        <x:v>69</x:v>
      </x:c>
      <x:c r="B69" s="6" t="n">
        <x:f>'计算明细'!K69</x:f>
        <x:v>137.91363455313393</x:v>
      </x:c>
      <x:c r="C69" s="25" t="n">
        <x:f>B69*'计算明细'!B69</x:f>
        <x:v>69.05335682075416</x:v>
      </x:c>
      <x:c r="D69" s="25" t="n">
        <x:v>74.55166056712085</x:v>
      </x:c>
      <x:c r="E69" s="25" t="n">
        <x:v>139.0449699012218</x:v>
      </x:c>
      <x:c r="F69" s="25" t="n">
        <x:v>409.47763926448334</x:v>
      </x:c>
      <x:c r="G69" s="25" t="n">
        <x:v>319.23822589668515</x:v>
      </x:c>
      <x:c r="H69" s="25" t="n">
        <x:v>253.56284921774323</x:v>
      </x:c>
      <x:c r="I69" s="25" t="n">
        <x:v>0</x:v>
      </x:c>
      <x:c r="J69" s="25" t="n">
        <x:v>180.02401445159512</x:v>
      </x:c>
      <x:c r="K69" s="25" t="n">
        <x:v>274.8110815843726</x:v>
      </x:c>
      <x:c r="L69" s="25" t="n">
        <x:v>179.09276667943772</x:v>
      </x:c>
      <x:c r="M69" s="25" t="n">
        <x:v>272.2399319575608</x:v>
      </x:c>
      <x:c r="N69" s="25" t="n">
        <x:v>137.22722310303837</x:v>
      </x:c>
      <x:c r="O69" s="25" t="n">
        <x:v>137.9964508991564</x:v>
      </x:c>
      <x:c r="P69" s="25" t="n">
        <x:v>128.2174040557104</x:v>
      </x:c>
      <x:c r="Q69" s="25" t="n">
        <x:v>112.94979654308493</x:v>
      </x:c>
      <x:c r="R69" s="25" t="n">
        <x:v>84.6018734484228</x:v>
      </x:c>
    </x:row>
    <x:row r="70" ht="14" customHeight="1">
      <x:c r="A70" s="1" t="s">
        <x:v>70</x:v>
      </x:c>
      <x:c r="B70" s="6" t="n">
        <x:f>'计算明细'!K70</x:f>
        <x:v>292.89085121980065</x:v>
      </x:c>
      <x:c r="C70" s="25" t="n">
        <x:f>B70*'计算明细'!B70</x:f>
        <x:v>141.37841388379778</x:v>
      </x:c>
      <x:c r="D70" s="25" t="n">
        <x:v>229.5288772337875</x:v>
      </x:c>
      <x:c r="E70" s="25" t="n">
        <x:v>294.02218656788847</x:v>
      </x:c>
      <x:c r="F70" s="25" t="n">
        <x:v>397.7881892644833</x:v>
      </x:c>
      <x:c r="G70" s="25" t="n">
        <x:v>307.54877589668513</x:v>
      </x:c>
      <x:c r="H70" s="25" t="n">
        <x:v>325.2067325510766</x:v>
      </x:c>
      <x:c r="I70" s="25" t="n">
        <x:v>0</x:v>
      </x:c>
      <x:c r="J70" s="25" t="n">
        <x:v>335.0012311182618</x:v>
      </x:c>
      <x:c r="K70" s="25" t="n">
        <x:v>429.78829825103924</x:v>
      </x:c>
      <x:c r="L70" s="25" t="n">
        <x:v>334.0699833461046</x:v>
      </x:c>
      <x:c r="M70" s="25" t="n">
        <x:v>427.21714862422743</x:v>
      </x:c>
      <x:c r="N70" s="25" t="n">
        <x:v>292.204439769705</x:v>
      </x:c>
      <x:c r="O70" s="25" t="n">
        <x:v>292.97366756582306</x:v>
      </x:c>
      <x:c r="P70" s="25" t="n">
        <x:v>283.1946207223771</x:v>
      </x:c>
      <x:c r="Q70" s="25" t="n">
        <x:v>267.92701320975164</x:v>
      </x:c>
      <x:c r="R70" s="25" t="n">
        <x:v>239.57909011508946</x:v>
      </x:c>
    </x:row>
    <x:row r="71" ht="14" customHeight="1">
      <x:c r="A71" s="1" t="s">
        <x:v>71</x:v>
      </x:c>
      <x:c r="B71" s="6" t="n">
        <x:f>'计算明细'!K71</x:f>
        <x:v>454.5770345531339</x:v>
      </x:c>
      <x:c r="C71" s="25" t="n">
        <x:f>B71*'计算明细'!B71</x:f>
        <x:v>217.51511103367457</x:v>
      </x:c>
      <x:c r="D71" s="25" t="n">
        <x:v>391.2150605671207</x:v>
      </x:c>
      <x:c r="E71" s="25" t="n">
        <x:v>455.7083699012217</x:v>
      </x:c>
      <x:c r="F71" s="25" t="n">
        <x:v>392.80770593114994</x:v>
      </x:c>
      <x:c r="G71" s="25" t="n">
        <x:v>302.56829256335175</x:v>
      </x:c>
      <x:c r="H71" s="25" t="n">
        <x:v>403.55958255107646</x:v>
      </x:c>
      <x:c r="I71" s="25" t="n">
        <x:v>313.16819076445995</x:v>
      </x:c>
      <x:c r="J71" s="25" t="n">
        <x:v>484.0134764009286</x:v>
      </x:c>
      <x:c r="K71" s="25" t="n">
        <x:v>424.80781491770585</x:v>
      </x:c>
      <x:c r="L71" s="25" t="n">
        <x:v>484.75847460980765</x:v>
      </x:c>
      <x:c r="M71" s="25" t="n">
        <x:v>434.60035161762687</x:v>
      </x:c>
      <x:c r="N71" s="25" t="n">
        <x:v>453.89062310303825</x:v>
      </x:c>
      <x:c r="O71" s="25" t="n">
        <x:v>454.6598508991563</x:v>
      </x:c>
      <x:c r="P71" s="25" t="n">
        <x:v>444.88080405571037</x:v>
      </x:c>
      <x:c r="Q71" s="25" t="n">
        <x:v>429.6131965430848</x:v>
      </x:c>
      <x:c r="R71" s="25" t="n">
        <x:v>401.2652734484227</x:v>
      </x:c>
    </x:row>
    <x:row r="72" ht="14" customHeight="1">
      <x:c r="A72" s="1" t="s">
        <x:v>72</x:v>
      </x:c>
      <x:c r="B72" s="6" t="n">
        <x:f>'计算明细'!K72</x:f>
        <x:v>520.1245166666668</x:v>
      </x:c>
      <x:c r="C72" s="25" t="n">
        <x:f>B72*'计算明细'!B72</x:f>
        <x:v>242.48204967000004</x:v>
      </x:c>
      <x:c r="D72" s="25" t="n">
        <x:v>520.1245166666574</x:v>
      </x:c>
      <x:c r="E72" s="25" t="n">
        <x:v>520.1245166666668</x:v>
      </x:c>
      <x:c r="F72" s="25" t="n">
        <x:v>368.90035593115</x:v>
      </x:c>
      <x:c r="G72" s="25" t="n">
        <x:v>278.6609425633518</x:v>
      </x:c>
      <x:c r="H72" s="25" t="n">
        <x:v>438.65967116975463</x:v>
      </x:c>
      <x:c r="I72" s="25" t="n">
        <x:v>520.1245166666668</x:v>
      </x:c>
      <x:c r="J72" s="25" t="n">
        <x:v>460.10612640092864</x:v>
      </x:c>
      <x:c r="K72" s="25" t="n">
        <x:v>400.9004649177059</x:v>
      </x:c>
      <x:c r="L72" s="25" t="n">
        <x:v>460.8511246098077</x:v>
      </x:c>
      <x:c r="M72" s="25" t="n">
        <x:v>410.6930016176269</x:v>
      </x:c>
      <x:c r="N72" s="25" t="n">
        <x:v>520.1245166666663</x:v>
      </x:c>
      <x:c r="O72" s="25" t="n">
        <x:v>520.0873695339354</x:v>
      </x:c>
      <x:c r="P72" s="25" t="n">
        <x:v>520.1245166666668</x:v>
      </x:c>
      <x:c r="Q72" s="25" t="n">
        <x:v>520.1245166666668</x:v>
      </x:c>
      <x:c r="R72" s="25" t="n">
        <x:v>520.1245166666665</x:v>
      </x:c>
    </x:row>
    <x:row r="73" ht="14" customHeight="1">
      <x:c r="A73" s="1" t="s">
        <x:v>73</x:v>
      </x:c>
      <x:c r="B73" s="6" t="n">
        <x:f>'计算明细'!K73</x:f>
        <x:v>486.40290000000005</x:v>
      </x:c>
      <x:c r="C73" s="25" t="n">
        <x:f>B73*'计算明细'!B73</x:f>
        <x:v>215.57376528</x:v>
      </x:c>
      <x:c r="D73" s="25" t="n">
        <x:v>486.4028999999904</x:v>
      </x:c>
      <x:c r="E73" s="25" t="n">
        <x:v>486.4028999999997</x:v>
      </x:c>
      <x:c r="F73" s="25" t="n">
        <x:v>335.1787392644833</x:v>
      </x:c>
      <x:c r="G73" s="25" t="n">
        <x:v>244.9393258966851</x:v>
      </x:c>
      <x:c r="H73" s="25" t="n">
        <x:v>404.9380545030879</x:v>
      </x:c>
      <x:c r="I73" s="25" t="n">
        <x:v>486.4028999999997</x:v>
      </x:c>
      <x:c r="J73" s="25" t="n">
        <x:v>426.38450973426194</x:v>
      </x:c>
      <x:c r="K73" s="25" t="n">
        <x:v>367.1788482510392</x:v>
      </x:c>
      <x:c r="L73" s="25" t="n">
        <x:v>427.129507943141</x:v>
      </x:c>
      <x:c r="M73" s="25" t="n">
        <x:v>376.9713849509602</x:v>
      </x:c>
      <x:c r="N73" s="25" t="n">
        <x:v>486.40289999999965</x:v>
      </x:c>
      <x:c r="O73" s="25" t="n">
        <x:v>486.3657528672687</x:v>
      </x:c>
      <x:c r="P73" s="25" t="n">
        <x:v>486.4028999999997</x:v>
      </x:c>
      <x:c r="Q73" s="25" t="n">
        <x:v>486.4028999999997</x:v>
      </x:c>
      <x:c r="R73" s="25" t="n">
        <x:v>486.4028999999999</x:v>
      </x:c>
    </x:row>
    <x:row r="74" ht="14" customHeight="1">
      <x:c r="A74" s="1" t="s">
        <x:v>74</x:v>
      </x:c>
      <x:c r="B74" s="6" t="n">
        <x:f>'计算明细'!K74</x:f>
        <x:v>480.4124499999998</x:v>
      </x:c>
      <x:c r="C74" s="25" t="n">
        <x:f>B74*'计算明细'!B74</x:f>
        <x:v>211.9099316949999</x:v>
      </x:c>
      <x:c r="D74" s="25" t="n">
        <x:v>480.41244999999986</x:v>
      </x:c>
      <x:c r="E74" s="25" t="n">
        <x:v>480.4124499999998</x:v>
      </x:c>
      <x:c r="F74" s="25" t="n">
        <x:v>329.18828926448333</x:v>
      </x:c>
      <x:c r="G74" s="25" t="n">
        <x:v>238.94887589668514</x:v>
      </x:c>
      <x:c r="H74" s="25" t="n">
        <x:v>389.5866666666666</x:v>
      </x:c>
      <x:c r="I74" s="25" t="n">
        <x:v>480.4124499999998</x:v>
      </x:c>
      <x:c r="J74" s="25" t="n">
        <x:v>420.394059734262</x:v>
      </x:c>
      <x:c r="K74" s="25" t="n">
        <x:v>361.18839825103925</x:v>
      </x:c>
      <x:c r="L74" s="25" t="n">
        <x:v>421.1390579431411</x:v>
      </x:c>
      <x:c r="M74" s="25" t="n">
        <x:v>370.9809349509603</x:v>
      </x:c>
      <x:c r="N74" s="25" t="n">
        <x:v>480.4124499999997</x:v>
      </x:c>
      <x:c r="O74" s="25" t="n">
        <x:v>480.37530286726883</x:v>
      </x:c>
      <x:c r="P74" s="25" t="n">
        <x:v>480.4124499999998</x:v>
      </x:c>
      <x:c r="Q74" s="25" t="n">
        <x:v>480.4124499999998</x:v>
      </x:c>
      <x:c r="R74" s="25" t="n">
        <x:v>480.4124499999999</x:v>
      </x:c>
    </x:row>
    <x:row r="75" ht="14" customHeight="1">
      <x:c r="A75" s="1" t="s">
        <x:v>75</x:v>
      </x:c>
      <x:c r="B75" s="6" t="n">
        <x:f>'计算明细'!K75</x:f>
        <x:v>485.29999999999984</x:v>
      </x:c>
      <x:c r="C75" s="25" t="n">
        <x:f>B75*'计算明细'!B75</x:f>
        <x:v>220.86002999999994</x:v>
      </x:c>
      <x:c r="D75" s="25" t="n">
        <x:v>485.3000000000064</x:v>
      </x:c>
      <x:c r="E75" s="25" t="n">
        <x:v>485.29999999999984</x:v>
      </x:c>
      <x:c r="F75" s="25" t="n">
        <x:v>334.0758392644834</x:v>
      </x:c>
      <x:c r="G75" s="25" t="n">
        <x:v>243.83642589668523</x:v>
      </x:c>
      <x:c r="H75" s="25" t="n">
        <x:v>311.1408833333333</x:v>
      </x:c>
      <x:c r="I75" s="25" t="n">
        <x:v>485.29999999999984</x:v>
      </x:c>
      <x:c r="J75" s="25" t="n">
        <x:v>425.2816097342621</x:v>
      </x:c>
      <x:c r="K75" s="25" t="n">
        <x:v>366.07594825103934</x:v>
      </x:c>
      <x:c r="L75" s="25" t="n">
        <x:v>426.02660794314113</x:v>
      </x:c>
      <x:c r="M75" s="25" t="n">
        <x:v>375.86848495096035</x:v>
      </x:c>
      <x:c r="N75" s="25" t="n">
        <x:v>485.2999999999998</x:v>
      </x:c>
      <x:c r="O75" s="25" t="n">
        <x:v>485.26285286726886</x:v>
      </x:c>
      <x:c r="P75" s="25" t="n">
        <x:v>485.29999999999984</x:v>
      </x:c>
      <x:c r="Q75" s="25" t="n">
        <x:v>485.29999999999984</x:v>
      </x:c>
      <x:c r="R75" s="25" t="n">
        <x:v>485.3</x:v>
      </x:c>
    </x:row>
    <x:row r="76" ht="14" customHeight="1">
      <x:c r="A76" s="1" t="s">
        <x:v>76</x:v>
      </x:c>
      <x:c r="B76" s="6" t="n">
        <x:f>'计算明细'!K76</x:f>
        <x:v>419.7808166666665</x:v>
      </x:c>
      <x:c r="C76" s="25" t="n">
        <x:f>B76*'计算明细'!B76</x:f>
        <x:v>187.34817847833324</x:v>
      </x:c>
      <x:c r="D76" s="25" t="n">
        <x:v>419.7808166666665</x:v>
      </x:c>
      <x:c r="E76" s="25" t="n">
        <x:v>419.7808166666665</x:v>
      </x:c>
      <x:c r="F76" s="25" t="n">
        <x:v>337.38280593114996</x:v>
      </x:c>
      <x:c r="G76" s="25" t="n">
        <x:v>247.14339256335177</x:v>
      </x:c>
      <x:c r="H76" s="25" t="n">
        <x:v>231.11451666666653</x:v>
      </x:c>
      <x:c r="I76" s="25" t="n">
        <x:v>488.60696666666627</x:v>
      </x:c>
      <x:c r="J76" s="25" t="n">
        <x:v>419.7808166666665</x:v>
      </x:c>
      <x:c r="K76" s="25" t="n">
        <x:v>369.3829149177059</x:v>
      </x:c>
      <x:c r="L76" s="25" t="n">
        <x:v>419.7808166666665</x:v>
      </x:c>
      <x:c r="M76" s="25" t="n">
        <x:v>379.1754516176269</x:v>
      </x:c>
      <x:c r="N76" s="25" t="n">
        <x:v>419.7808166666665</x:v>
      </x:c>
      <x:c r="O76" s="25" t="n">
        <x:v>419.7808166666665</x:v>
      </x:c>
      <x:c r="P76" s="25" t="n">
        <x:v>419.7808166666665</x:v>
      </x:c>
      <x:c r="Q76" s="25" t="n">
        <x:v>419.7808166666665</x:v>
      </x:c>
      <x:c r="R76" s="25" t="n">
        <x:v>419.7808166666665</x:v>
      </x:c>
    </x:row>
    <x:row r="77" ht="14" customHeight="1">
      <x:c r="A77" s="1" t="s">
        <x:v>77</x:v>
      </x:c>
      <x:c r="B77" s="6" t="n">
        <x:f>'计算明细'!K77</x:f>
        <x:v>262.77791666666656</x:v>
      </x:c>
      <x:c r="C77" s="25" t="n">
        <x:f>B77*'计算明细'!B77</x:f>
        <x:v>108.08055712499996</x:v>
      </x:c>
      <x:c r="D77" s="25" t="n">
        <x:v>262.77791666666656</x:v>
      </x:c>
      <x:c r="E77" s="25" t="n">
        <x:v>262.77791666666656</x:v>
      </x:c>
      <x:c r="F77" s="25" t="n">
        <x:v>262.77791666666656</x:v>
      </x:c>
      <x:c r="G77" s="25" t="n">
        <x:v>256.80715923001844</x:v>
      </x:c>
      <x:c r="H77" s="25" t="n">
        <x:v>157.4449499999999</x:v>
      </x:c>
      <x:c r="I77" s="25" t="n">
        <x:v>302.8224999999999</x:v>
      </x:c>
      <x:c r="J77" s="25" t="n">
        <x:v>262.77791666666656</x:v>
      </x:c>
      <x:c r="K77" s="25" t="n">
        <x:v>246.39929595960507</x:v>
      </x:c>
      <x:c r="L77" s="25" t="n">
        <x:v>262.77791666666656</x:v>
      </x:c>
      <x:c r="M77" s="25" t="n">
        <x:v>222.17255161762697</x:v>
      </x:c>
      <x:c r="N77" s="25" t="n">
        <x:v>262.77791666666656</x:v>
      </x:c>
      <x:c r="O77" s="25" t="n">
        <x:v>262.77791666666656</x:v>
      </x:c>
      <x:c r="P77" s="25" t="n">
        <x:v>262.77791666666656</x:v>
      </x:c>
      <x:c r="Q77" s="25" t="n">
        <x:v>262.77791666666656</x:v>
      </x:c>
      <x:c r="R77" s="25" t="n">
        <x:v>262.77791666666656</x:v>
      </x:c>
    </x:row>
    <x:row r="78" ht="14" customHeight="1">
      <x:c r="A78" s="1" t="s">
        <x:v>78</x:v>
      </x:c>
      <x:c r="B78" s="6" t="n">
        <x:f>'计算明细'!K78</x:f>
        <x:v>126.62208333333334</x:v>
      </x:c>
      <x:c r="C78" s="25" t="n">
        <x:f>B78*'计算明细'!B78</x:f>
        <x:v>71.94666775</x:v>
      </x:c>
      <x:c r="D78" s="25" t="n">
        <x:v>126.62208333333334</x:v>
      </x:c>
      <x:c r="E78" s="25" t="n">
        <x:v>126.62208333333334</x:v>
      </x:c>
      <x:c r="F78" s="25" t="n">
        <x:v>126.62208333333334</x:v>
      </x:c>
      <x:c r="G78" s="25" t="n">
        <x:v>120.65132589668522</x:v>
      </x:c>
      <x:c r="H78" s="25" t="n">
        <x:v>104.62244999999999</x:v>
      </x:c>
      <x:c r="I78" s="25" t="n">
        <x:v>0</x:v>
      </x:c>
      <x:c r="J78" s="25" t="n">
        <x:v>126.62208333333334</x:v>
      </x:c>
      <x:c r="K78" s="25" t="n">
        <x:v>110.24346262627184</x:v>
      </x:c>
      <x:c r="L78" s="25" t="n">
        <x:v>126.62208333333334</x:v>
      </x:c>
      <x:c r="M78" s="25" t="n">
        <x:v>86.01671828429372</x:v>
      </x:c>
      <x:c r="N78" s="25" t="n">
        <x:v>126.62208333333334</x:v>
      </x:c>
      <x:c r="O78" s="25" t="n">
        <x:v>126.62208333333334</x:v>
      </x:c>
      <x:c r="P78" s="25" t="n">
        <x:v>126.62208333333334</x:v>
      </x:c>
      <x:c r="Q78" s="25" t="n">
        <x:v>126.62208333333334</x:v>
      </x:c>
      <x:c r="R78" s="25" t="n">
        <x:v>126.62208333333334</x:v>
      </x:c>
    </x:row>
    <x:row r="79" ht="14" customHeight="1">
      <x:c r="A79" s="1" t="s">
        <x:v>79</x:v>
      </x:c>
      <x:c r="B79" s="6" t="n">
        <x:f>'计算明细'!K79</x:f>
        <x:v>0</x:v>
      </x:c>
      <x:c r="C79" s="25" t="n">
        <x:f>B79*'计算明细'!B79</x:f>
        <x:v>0</x:v>
      </x:c>
      <x:c r="D79" s="25" t="n">
        <x:v>0</x:v>
      </x:c>
      <x:c r="E79" s="25" t="n">
        <x:v>0</x:v>
      </x:c>
      <x:c r="F79" s="25" t="n">
        <x:v>0</x:v>
      </x:c>
      <x:c r="G79" s="25" t="n">
        <x:v>0</x:v>
      </x:c>
      <x:c r="H79" s="25" t="n">
        <x:v>61.33369999999998</x:v>
      </x:c>
      <x:c r="I79" s="25" t="n">
        <x:v>0</x:v>
      </x:c>
      <x:c r="J79" s="25" t="n">
        <x:v>0</x:v>
      </x:c>
      <x:c r="K79" s="25" t="n">
        <x:v>0</x:v>
      </x:c>
      <x:c r="L79" s="25" t="n">
        <x:v>0</x:v>
      </x:c>
      <x:c r="M79" s="25" t="n">
        <x:v>0</x:v>
      </x:c>
      <x:c r="N79" s="25" t="n">
        <x:v>0</x:v>
      </x:c>
      <x:c r="O79" s="25" t="n">
        <x:v>0</x:v>
      </x:c>
      <x:c r="P79" s="25" t="n">
        <x:v>0</x:v>
      </x:c>
      <x:c r="Q79" s="25" t="n">
        <x:v>0</x:v>
      </x:c>
      <x:c r="R79" s="25" t="n">
        <x:v>0</x:v>
      </x:c>
    </x:row>
    <x:row r="80" ht="14" customHeight="1">
      <x:c r="A80" s="1" t="s">
        <x:v>80</x:v>
      </x:c>
      <x:c r="B80" s="6" t="n">
        <x:f>'计算明细'!K80</x:f>
        <x:v>0</x:v>
      </x:c>
      <x:c r="C80" s="25" t="n">
        <x:f>B80*'计算明细'!B80</x:f>
        <x:v>0</x:v>
      </x:c>
      <x:c r="D80" s="25" t="n">
        <x:v>0</x:v>
      </x:c>
      <x:c r="E80" s="25" t="n">
        <x:v>0</x:v>
      </x:c>
      <x:c r="F80" s="25" t="n">
        <x:v>0</x:v>
      </x:c>
      <x:c r="G80" s="25" t="n">
        <x:v>0</x:v>
      </x:c>
      <x:c r="H80" s="25" t="n">
        <x:v>0</x:v>
      </x:c>
      <x:c r="I80" s="25" t="n">
        <x:v>0</x:v>
      </x:c>
      <x:c r="J80" s="25" t="n">
        <x:v>0</x:v>
      </x:c>
      <x:c r="K80" s="25" t="n">
        <x:v>0</x:v>
      </x:c>
      <x:c r="L80" s="25" t="n">
        <x:v>0</x:v>
      </x:c>
      <x:c r="M80" s="25" t="n">
        <x:v>0</x:v>
      </x:c>
      <x:c r="N80" s="25" t="n">
        <x:v>0</x:v>
      </x:c>
      <x:c r="O80" s="25" t="n">
        <x:v>0</x:v>
      </x:c>
      <x:c r="P80" s="25" t="n">
        <x:v>0</x:v>
      </x:c>
      <x:c r="Q80" s="25" t="n">
        <x:v>0</x:v>
      </x:c>
      <x:c r="R80" s="25" t="n">
        <x:v>0</x:v>
      </x:c>
    </x:row>
    <x:row r="81" ht="14" customHeight="1">
      <x:c r="A81" s="1" t="s">
        <x:v>81</x:v>
      </x:c>
      <x:c r="B81" s="6" t="n">
        <x:f>'计算明细'!K81</x:f>
        <x:v>0</x:v>
      </x:c>
      <x:c r="C81" s="25" t="n">
        <x:f>B81*'计算明细'!B81</x:f>
        <x:v>0</x:v>
      </x:c>
      <x:c r="D81" s="25" t="n">
        <x:v>0</x:v>
      </x:c>
      <x:c r="E81" s="25" t="n">
        <x:v>0</x:v>
      </x:c>
      <x:c r="F81" s="25" t="n">
        <x:v>0</x:v>
      </x:c>
      <x:c r="G81" s="25" t="n">
        <x:v>0</x:v>
      </x:c>
      <x:c r="H81" s="25" t="n">
        <x:v>0</x:v>
      </x:c>
      <x:c r="I81" s="25" t="n">
        <x:v>0</x:v>
      </x:c>
      <x:c r="J81" s="25" t="n">
        <x:v>0</x:v>
      </x:c>
      <x:c r="K81" s="25" t="n">
        <x:v>0</x:v>
      </x:c>
      <x:c r="L81" s="25" t="n">
        <x:v>0</x:v>
      </x:c>
      <x:c r="M81" s="25" t="n">
        <x:v>0</x:v>
      </x:c>
      <x:c r="N81" s="25" t="n">
        <x:v>0</x:v>
      </x:c>
      <x:c r="O81" s="25" t="n">
        <x:v>0</x:v>
      </x:c>
      <x:c r="P81" s="25" t="n">
        <x:v>0</x:v>
      </x:c>
      <x:c r="Q81" s="25" t="n">
        <x:v>0</x:v>
      </x:c>
      <x:c r="R81" s="25" t="n">
        <x:v>0</x:v>
      </x:c>
    </x:row>
    <x:row r="82" ht="14" customHeight="1">
      <x:c r="A82" s="1" t="s">
        <x:v>82</x:v>
      </x:c>
      <x:c r="B82" s="6" t="n">
        <x:f>'计算明细'!K82</x:f>
        <x:v>0</x:v>
      </x:c>
      <x:c r="C82" s="25" t="n">
        <x:f>B82*'计算明细'!B82</x:f>
        <x:v>0</x:v>
      </x:c>
      <x:c r="D82" s="25" t="n">
        <x:v>0</x:v>
      </x:c>
      <x:c r="E82" s="25" t="n">
        <x:v>0</x:v>
      </x:c>
      <x:c r="F82" s="25" t="n">
        <x:v>0</x:v>
      </x:c>
      <x:c r="G82" s="25" t="n">
        <x:v>0</x:v>
      </x:c>
      <x:c r="H82" s="25" t="n">
        <x:v>0</x:v>
      </x:c>
      <x:c r="I82" s="25" t="n">
        <x:v>0</x:v>
      </x:c>
      <x:c r="J82" s="25" t="n">
        <x:v>0</x:v>
      </x:c>
      <x:c r="K82" s="25" t="n">
        <x:v>0</x:v>
      </x:c>
      <x:c r="L82" s="25" t="n">
        <x:v>0</x:v>
      </x:c>
      <x:c r="M82" s="25" t="n">
        <x:v>0</x:v>
      </x:c>
      <x:c r="N82" s="25" t="n">
        <x:v>0</x:v>
      </x:c>
      <x:c r="O82" s="25" t="n">
        <x:v>0</x:v>
      </x:c>
      <x:c r="P82" s="25" t="n">
        <x:v>0</x:v>
      </x:c>
      <x:c r="Q82" s="25" t="n">
        <x:v>0</x:v>
      </x:c>
      <x:c r="R82" s="25" t="n">
        <x:v>0</x:v>
      </x:c>
    </x:row>
    <x:row r="83" ht="14" customHeight="1">
      <x:c r="A83" s="1" t="s">
        <x:v>83</x:v>
      </x:c>
      <x:c r="B83" s="6" t="n">
        <x:f>'计算明细'!K83</x:f>
        <x:v>0</x:v>
      </x:c>
      <x:c r="C83" s="25" t="n">
        <x:f>B83*'计算明细'!B83</x:f>
        <x:v>0</x:v>
      </x:c>
      <x:c r="D83" s="25" t="n">
        <x:v>0</x:v>
      </x:c>
      <x:c r="E83" s="25" t="n">
        <x:v>0</x:v>
      </x:c>
      <x:c r="F83" s="25" t="n">
        <x:v>0</x:v>
      </x:c>
      <x:c r="G83" s="25" t="n">
        <x:v>0</x:v>
      </x:c>
      <x:c r="H83" s="25" t="n">
        <x:v>0</x:v>
      </x:c>
      <x:c r="I83" s="25" t="n">
        <x:v>0</x:v>
      </x:c>
      <x:c r="J83" s="25" t="n">
        <x:v>0</x:v>
      </x:c>
      <x:c r="K83" s="25" t="n">
        <x:v>0</x:v>
      </x:c>
      <x:c r="L83" s="25" t="n">
        <x:v>0</x:v>
      </x:c>
      <x:c r="M83" s="25" t="n">
        <x:v>0</x:v>
      </x:c>
      <x:c r="N83" s="25" t="n">
        <x:v>0</x:v>
      </x:c>
      <x:c r="O83" s="25" t="n">
        <x:v>0</x:v>
      </x:c>
      <x:c r="P83" s="25" t="n">
        <x:v>0</x:v>
      </x:c>
      <x:c r="Q83" s="25" t="n">
        <x:v>0</x:v>
      </x:c>
      <x:c r="R83" s="25" t="n">
        <x:v>0</x:v>
      </x:c>
    </x:row>
    <x:row r="84" ht="14" customHeight="1">
      <x:c r="A84" s="1" t="s">
        <x:v>84</x:v>
      </x:c>
      <x:c r="B84" s="6" t="n">
        <x:f>'计算明细'!K84</x:f>
        <x:v>0</x:v>
      </x:c>
      <x:c r="C84" s="25" t="n">
        <x:f>B84*'计算明细'!B84</x:f>
        <x:v>0</x:v>
      </x:c>
      <x:c r="D84" s="25" t="n">
        <x:v>0</x:v>
      </x:c>
      <x:c r="E84" s="25" t="n">
        <x:v>0</x:v>
      </x:c>
      <x:c r="F84" s="25" t="n">
        <x:v>0</x:v>
      </x:c>
      <x:c r="G84" s="25" t="n">
        <x:v>0</x:v>
      </x:c>
      <x:c r="H84" s="25" t="n">
        <x:v>0</x:v>
      </x:c>
      <x:c r="I84" s="25" t="n">
        <x:v>0</x:v>
      </x:c>
      <x:c r="J84" s="25" t="n">
        <x:v>0</x:v>
      </x:c>
      <x:c r="K84" s="25" t="n">
        <x:v>0</x:v>
      </x:c>
      <x:c r="L84" s="25" t="n">
        <x:v>0</x:v>
      </x:c>
      <x:c r="M84" s="25" t="n">
        <x:v>0</x:v>
      </x:c>
      <x:c r="N84" s="25" t="n">
        <x:v>0</x:v>
      </x:c>
      <x:c r="O84" s="25" t="n">
        <x:v>0</x:v>
      </x:c>
      <x:c r="P84" s="25" t="n">
        <x:v>0</x:v>
      </x:c>
      <x:c r="Q84" s="25" t="n">
        <x:v>0</x:v>
      </x:c>
      <x:c r="R84" s="25" t="n">
        <x:v>0</x:v>
      </x:c>
    </x:row>
    <x:row r="85" ht="14" customHeight="1">
      <x:c r="A85" s="1" t="s">
        <x:v>85</x:v>
      </x:c>
      <x:c r="B85" s="6" t="n">
        <x:f>'计算明细'!K85</x:f>
        <x:v>0</x:v>
      </x:c>
      <x:c r="C85" s="25" t="n">
        <x:f>B85*'计算明细'!B85</x:f>
        <x:v>0</x:v>
      </x:c>
      <x:c r="D85" s="25" t="n">
        <x:v>0</x:v>
      </x:c>
      <x:c r="E85" s="25" t="n">
        <x:v>0</x:v>
      </x:c>
      <x:c r="F85" s="25" t="n">
        <x:v>0</x:v>
      </x:c>
      <x:c r="G85" s="25" t="n">
        <x:v>0</x:v>
      </x:c>
      <x:c r="H85" s="25" t="n">
        <x:v>0</x:v>
      </x:c>
      <x:c r="I85" s="25" t="n">
        <x:v>0</x:v>
      </x:c>
      <x:c r="J85" s="25" t="n">
        <x:v>0</x:v>
      </x:c>
      <x:c r="K85" s="25" t="n">
        <x:v>0</x:v>
      </x:c>
      <x:c r="L85" s="25" t="n">
        <x:v>0</x:v>
      </x:c>
      <x:c r="M85" s="25" t="n">
        <x:v>0</x:v>
      </x:c>
      <x:c r="N85" s="25" t="n">
        <x:v>0</x:v>
      </x:c>
      <x:c r="O85" s="25" t="n">
        <x:v>0</x:v>
      </x:c>
      <x:c r="P85" s="25" t="n">
        <x:v>0</x:v>
      </x:c>
      <x:c r="Q85" s="25" t="n">
        <x:v>0</x:v>
      </x:c>
      <x:c r="R85" s="25" t="n">
        <x:v>0</x:v>
      </x:c>
    </x:row>
    <x:row r="86" ht="14" customHeight="1">
      <x:c r="A86" s="1" t="s">
        <x:v>86</x:v>
      </x:c>
      <x:c r="B86" s="6" t="n">
        <x:f>'计算明细'!K86</x:f>
        <x:v>0</x:v>
      </x:c>
      <x:c r="C86" s="25" t="n">
        <x:f>B86*'计算明细'!B86</x:f>
        <x:v>0</x:v>
      </x:c>
      <x:c r="D86" s="25" t="n">
        <x:v>0</x:v>
      </x:c>
      <x:c r="E86" s="25" t="n">
        <x:v>0</x:v>
      </x:c>
      <x:c r="F86" s="25" t="n">
        <x:v>0</x:v>
      </x:c>
      <x:c r="G86" s="25" t="n">
        <x:v>0</x:v>
      </x:c>
      <x:c r="H86" s="25" t="n">
        <x:v>0</x:v>
      </x:c>
      <x:c r="I86" s="25" t="n">
        <x:v>0</x:v>
      </x:c>
      <x:c r="J86" s="25" t="n">
        <x:v>0</x:v>
      </x:c>
      <x:c r="K86" s="25" t="n">
        <x:v>0</x:v>
      </x:c>
      <x:c r="L86" s="25" t="n">
        <x:v>0</x:v>
      </x:c>
      <x:c r="M86" s="25" t="n">
        <x:v>0</x:v>
      </x:c>
      <x:c r="N86" s="25" t="n">
        <x:v>0</x:v>
      </x:c>
      <x:c r="O86" s="25" t="n">
        <x:v>0</x:v>
      </x:c>
      <x:c r="P86" s="25" t="n">
        <x:v>0</x:v>
      </x:c>
      <x:c r="Q86" s="25" t="n">
        <x:v>0</x:v>
      </x:c>
      <x:c r="R86" s="25" t="n">
        <x:v>0</x:v>
      </x:c>
    </x:row>
    <x:row r="87" ht="14" customHeight="1">
      <x:c r="A87" s="1" t="s">
        <x:v>87</x:v>
      </x:c>
      <x:c r="B87" s="6" t="n">
        <x:f>'计算明细'!K87</x:f>
        <x:v>0</x:v>
      </x:c>
      <x:c r="C87" s="25" t="n">
        <x:f>B87*'计算明细'!B87</x:f>
        <x:v>0</x:v>
      </x:c>
      <x:c r="D87" s="25" t="n">
        <x:v>0</x:v>
      </x:c>
      <x:c r="E87" s="25" t="n">
        <x:v>0</x:v>
      </x:c>
      <x:c r="F87" s="25" t="n">
        <x:v>0</x:v>
      </x:c>
      <x:c r="G87" s="25" t="n">
        <x:v>0</x:v>
      </x:c>
      <x:c r="H87" s="25" t="n">
        <x:v>0</x:v>
      </x:c>
      <x:c r="I87" s="25" t="n">
        <x:v>0</x:v>
      </x:c>
      <x:c r="J87" s="25" t="n">
        <x:v>0</x:v>
      </x:c>
      <x:c r="K87" s="25" t="n">
        <x:v>0</x:v>
      </x:c>
      <x:c r="L87" s="25" t="n">
        <x:v>0</x:v>
      </x:c>
      <x:c r="M87" s="25" t="n">
        <x:v>0</x:v>
      </x:c>
      <x:c r="N87" s="25" t="n">
        <x:v>0</x:v>
      </x:c>
      <x:c r="O87" s="25" t="n">
        <x:v>0</x:v>
      </x:c>
      <x:c r="P87" s="25" t="n">
        <x:v>0</x:v>
      </x:c>
      <x:c r="Q87" s="25" t="n">
        <x:v>0</x:v>
      </x:c>
      <x:c r="R87" s="25" t="n">
        <x:v>0</x:v>
      </x:c>
    </x:row>
    <x:row r="88" ht="14" customHeight="1">
      <x:c r="A88" s="1" t="s">
        <x:v>88</x:v>
      </x:c>
      <x:c r="B88" s="6" t="n">
        <x:f>'计算明细'!K88</x:f>
        <x:v>0</x:v>
      </x:c>
      <x:c r="C88" s="25" t="n">
        <x:f>B88*'计算明细'!B88</x:f>
        <x:v>0</x:v>
      </x:c>
      <x:c r="D88" s="25" t="n">
        <x:v>0</x:v>
      </x:c>
      <x:c r="E88" s="25" t="n">
        <x:v>0</x:v>
      </x:c>
      <x:c r="F88" s="25" t="n">
        <x:v>0</x:v>
      </x:c>
      <x:c r="G88" s="25" t="n">
        <x:v>0</x:v>
      </x:c>
      <x:c r="H88" s="25" t="n">
        <x:v>0</x:v>
      </x:c>
      <x:c r="I88" s="25" t="n">
        <x:v>0</x:v>
      </x:c>
      <x:c r="J88" s="25" t="n">
        <x:v>0</x:v>
      </x:c>
      <x:c r="K88" s="25" t="n">
        <x:v>0</x:v>
      </x:c>
      <x:c r="L88" s="25" t="n">
        <x:v>0</x:v>
      </x:c>
      <x:c r="M88" s="25" t="n">
        <x:v>0</x:v>
      </x:c>
      <x:c r="N88" s="25" t="n">
        <x:v>0</x:v>
      </x:c>
      <x:c r="O88" s="25" t="n">
        <x:v>0</x:v>
      </x:c>
      <x:c r="P88" s="25" t="n">
        <x:v>0</x:v>
      </x:c>
      <x:c r="Q88" s="25" t="n">
        <x:v>0</x:v>
      </x:c>
      <x:c r="R88" s="25" t="n">
        <x:v>0</x:v>
      </x:c>
    </x:row>
    <x:row r="89" ht="14" customHeight="1">
      <x:c r="A89" s="1" t="s">
        <x:v>89</x:v>
      </x:c>
      <x:c r="B89" s="6" t="n">
        <x:f>'计算明细'!K89</x:f>
        <x:v>23.78136666666675</x:v>
      </x:c>
      <x:c r="C89" s="25" t="n">
        <x:f>B89*'计算明细'!B89</x:f>
        <x:v>25.935958486666756</x:v>
      </x:c>
      <x:c r="D89" s="25" t="n">
        <x:v>0</x:v>
      </x:c>
      <x:c r="E89" s="25" t="n">
        <x:v>0</x:v>
      </x:c>
      <x:c r="F89" s="25" t="n">
        <x:v>23.78136666666675</x:v>
      </x:c>
      <x:c r="G89" s="25" t="n">
        <x:v>23.78136666666675</x:v>
      </x:c>
      <x:c r="H89" s="25" t="n">
        <x:v>23.78136666666675</x:v>
      </x:c>
      <x:c r="I89" s="25" t="n">
        <x:v>23.78136666666675</x:v>
      </x:c>
      <x:c r="J89" s="25" t="n">
        <x:v>23.78136666666675</x:v>
      </x:c>
      <x:c r="K89" s="25" t="n">
        <x:v>23.781366666665065</x:v>
      </x:c>
      <x:c r="L89" s="25" t="n">
        <x:v>23.78136666666675</x:v>
      </x:c>
      <x:c r="M89" s="25" t="n">
        <x:v>23.781366666663263</x:v>
      </x:c>
      <x:c r="N89" s="25" t="n">
        <x:v>23.78136666665396</x:v>
      </x:c>
      <x:c r="O89" s="25" t="n">
        <x:v>23.781366666670085</x:v>
      </x:c>
      <x:c r="P89" s="25" t="n">
        <x:v>23.781366666658645</x:v>
      </x:c>
      <x:c r="Q89" s="25" t="n">
        <x:v>23.781366666648854</x:v>
      </x:c>
      <x:c r="R89" s="25" t="n">
        <x:v>23.78136666666675</x:v>
      </x:c>
    </x:row>
    <x:row r="90" ht="14" customHeight="1">
      <x:c r="A90" s="1" t="s">
        <x:v>90</x:v>
      </x:c>
      <x:c r="B90" s="6" t="n">
        <x:f>'计算明细'!K90</x:f>
        <x:v>67.3200166666667</x:v>
      </x:c>
      <x:c r="C90" s="25" t="n">
        <x:f>B90*'计算明细'!B90</x:f>
        <x:v>63.1192476266667</x:v>
      </x:c>
      <x:c r="D90" s="25" t="n">
        <x:v>0</x:v>
      </x:c>
      <x:c r="E90" s="25" t="n">
        <x:v>5.603322227030921</x:v>
      </x:c>
      <x:c r="F90" s="25" t="n">
        <x:v>67.3200166666667</x:v>
      </x:c>
      <x:c r="G90" s="25" t="n">
        <x:v>67.32001666666669</x:v>
      </x:c>
      <x:c r="H90" s="25" t="n">
        <x:v>67.3200166666667</x:v>
      </x:c>
      <x:c r="I90" s="25" t="n">
        <x:v>67.32001666666696</x:v>
      </x:c>
      <x:c r="J90" s="25" t="n">
        <x:v>67.32001666666265</x:v>
      </x:c>
      <x:c r="K90" s="25" t="n">
        <x:v>67.3200166666667</x:v>
      </x:c>
      <x:c r="L90" s="25" t="n">
        <x:v>67.32001666666679</x:v>
      </x:c>
      <x:c r="M90" s="25" t="n">
        <x:v>67.32001666666322</x:v>
      </x:c>
      <x:c r="N90" s="25" t="n">
        <x:v>67.3200166666667</x:v>
      </x:c>
      <x:c r="O90" s="25" t="n">
        <x:v>67.32001666666673</x:v>
      </x:c>
      <x:c r="P90" s="25" t="n">
        <x:v>67.3200166666667</x:v>
      </x:c>
      <x:c r="Q90" s="25" t="n">
        <x:v>67.3200166666667</x:v>
      </x:c>
      <x:c r="R90" s="25" t="n">
        <x:v>67.3200166666667</x:v>
      </x:c>
    </x:row>
    <x:row r="91" ht="14" customHeight="1">
      <x:c r="A91" s="1" t="s">
        <x:v>91</x:v>
      </x:c>
      <x:c r="B91" s="6" t="n">
        <x:f>'计算明细'!K91</x:f>
        <x:v>112.0898666666667</x:v>
      </x:c>
      <x:c r="C91" s="25" t="n">
        <x:f>B91*'计算明细'!B91</x:f>
        <x:v>75.03295674666668</x:v>
      </x:c>
      <x:c r="D91" s="25" t="n">
        <x:v>111.92320000000214</x:v>
      </x:c>
      <x:c r="E91" s="25" t="n">
        <x:v>111.92319999999997</x:v>
      </x:c>
      <x:c r="F91" s="25" t="n">
        <x:v>112.0898666666667</x:v>
      </x:c>
      <x:c r="G91" s="25" t="n">
        <x:v>112.0898666666667</x:v>
      </x:c>
      <x:c r="H91" s="25" t="n">
        <x:v>112.0898666666667</x:v>
      </x:c>
      <x:c r="I91" s="25" t="n">
        <x:v>112.08986666666881</x:v>
      </x:c>
      <x:c r="J91" s="25" t="n">
        <x:v>112.08986666666263</x:v>
      </x:c>
      <x:c r="K91" s="25" t="n">
        <x:v>112.0898666666667</x:v>
      </x:c>
      <x:c r="L91" s="25" t="n">
        <x:v>112.0898666666667</x:v>
      </x:c>
      <x:c r="M91" s="25" t="n">
        <x:v>112.08986666666314</x:v>
      </x:c>
      <x:c r="N91" s="25" t="n">
        <x:v>112.08986666666625</x:v>
      </x:c>
      <x:c r="O91" s="25" t="n">
        <x:v>112.08986666666672</x:v>
      </x:c>
      <x:c r="P91" s="25" t="n">
        <x:v>112.08986666666665</x:v>
      </x:c>
      <x:c r="Q91" s="25" t="n">
        <x:v>112.08986666666158</x:v>
      </x:c>
      <x:c r="R91" s="25" t="n">
        <x:v>112.0898666666667</x:v>
      </x:c>
    </x:row>
    <x:row r="92" ht="14" customHeight="1">
      <x:c r="A92" s="1" t="s">
        <x:v>92</x:v>
      </x:c>
      <x:c r="B92" s="6" t="n">
        <x:f>'计算明细'!K92</x:f>
        <x:v>154.26184999999998</x:v>
      </x:c>
      <x:c r="C92" s="25" t="n">
        <x:f>B92*'计算明细'!B92</x:f>
        <x:v>101.81282099999999</x:v>
      </x:c>
      <x:c r="D92" s="25" t="n">
        <x:v>255.33746111111014</x:v>
      </x:c>
      <x:c r="E92" s="25" t="n">
        <x:v>185.9895269529511</x:v>
      </x:c>
      <x:c r="F92" s="25" t="n">
        <x:v>154.26184999999998</x:v>
      </x:c>
      <x:c r="G92" s="25" t="n">
        <x:v>154.26184999999998</x:v>
      </x:c>
      <x:c r="H92" s="25" t="n">
        <x:v>154.26184999999998</x:v>
      </x:c>
      <x:c r="I92" s="25" t="n">
        <x:v>154.2618500000014</x:v>
      </x:c>
      <x:c r="J92" s="25" t="n">
        <x:v>154.26184999999847</x:v>
      </x:c>
      <x:c r="K92" s="25" t="n">
        <x:v>154.26185000000032</x:v>
      </x:c>
      <x:c r="L92" s="25" t="n">
        <x:v>154.26185</x:v>
      </x:c>
      <x:c r="M92" s="25" t="n">
        <x:v>154.26185000000214</x:v>
      </x:c>
      <x:c r="N92" s="25" t="n">
        <x:v>154.26184999999958</x:v>
      </x:c>
      <x:c r="O92" s="25" t="n">
        <x:v>154.2618500000001</x:v>
      </x:c>
      <x:c r="P92" s="25" t="n">
        <x:v>154.26185000001647</x:v>
      </x:c>
      <x:c r="Q92" s="25" t="n">
        <x:v>154.26185000001863</x:v>
      </x:c>
      <x:c r="R92" s="25" t="n">
        <x:v>154.26185</x:v>
      </x:c>
    </x:row>
    <x:row r="93" ht="14" customHeight="1">
      <x:c r="A93" s="1" t="s">
        <x:v>93</x:v>
      </x:c>
      <x:c r="B93" s="6" t="n">
        <x:f>'计算明细'!K93</x:f>
        <x:v>197.52351666666664</x:v>
      </x:c>
      <x:c r="C93" s="25" t="n">
        <x:f>B93*'计算明细'!B93</x:f>
        <x:v>142.55272197833332</x:v>
      </x:c>
      <x:c r="D93" s="25" t="n">
        <x:v>197.69018333333466</x:v>
      </x:c>
      <x:c r="E93" s="25" t="n">
        <x:v>229.2511936196177</x:v>
      </x:c>
      <x:c r="F93" s="25" t="n">
        <x:v>197.52351666666664</x:v>
      </x:c>
      <x:c r="G93" s="25" t="n">
        <x:v>197.52351666666664</x:v>
      </x:c>
      <x:c r="H93" s="25" t="n">
        <x:v>197.52351666666664</x:v>
      </x:c>
      <x:c r="I93" s="25" t="n">
        <x:v>197.52351666666817</x:v>
      </x:c>
      <x:c r="J93" s="25" t="n">
        <x:v>197.52351666666726</x:v>
      </x:c>
      <x:c r="K93" s="25" t="n">
        <x:v>197.52351666666692</x:v>
      </x:c>
      <x:c r="L93" s="25" t="n">
        <x:v>197.52351666666698</x:v>
      </x:c>
      <x:c r="M93" s="25" t="n">
        <x:v>197.52351666666874</x:v>
      </x:c>
      <x:c r="N93" s="25" t="n">
        <x:v>197.523516666666</x:v>
      </x:c>
      <x:c r="O93" s="25" t="n">
        <x:v>197.52351666666314</x:v>
      </x:c>
      <x:c r="P93" s="25" t="n">
        <x:v>197.5235166666576</x:v>
      </x:c>
      <x:c r="Q93" s="25" t="n">
        <x:v>197.52351666666664</x:v>
      </x:c>
      <x:c r="R93" s="25" t="n">
        <x:v>197.52351666666664</x:v>
      </x:c>
    </x:row>
    <x:row r="94" ht="14" customHeight="1">
      <x:c r="A94" s="1" t="s">
        <x:v>94</x:v>
      </x:c>
      <x:c r="B94" s="6" t="n">
        <x:f>'计算明细'!K94</x:f>
        <x:v>244.81403333333324</x:v>
      </x:c>
      <x:c r="C94" s="25" t="n">
        <x:f>B94*'计算明细'!B94</x:f>
        <x:v>178.91009555999995</x:v>
      </x:c>
      <x:c r="D94" s="25" t="n">
        <x:v>244.9807000000032</x:v>
      </x:c>
      <x:c r="E94" s="25" t="n">
        <x:v>276.54171028628434</x:v>
      </x:c>
      <x:c r="F94" s="25" t="n">
        <x:v>244.81403333333324</x:v>
      </x:c>
      <x:c r="G94" s="25" t="n">
        <x:v>244.81403333333287</x:v>
      </x:c>
      <x:c r="H94" s="25" t="n">
        <x:v>244.81403333333324</x:v>
      </x:c>
      <x:c r="I94" s="25" t="n">
        <x:v>244.81403333333526</x:v>
      </x:c>
      <x:c r="J94" s="25" t="n">
        <x:v>244.8140333333339</x:v>
      </x:c>
      <x:c r="K94" s="25" t="n">
        <x:v>244.8140333333332</x:v>
      </x:c>
      <x:c r="L94" s="25" t="n">
        <x:v>244.8140333333329</x:v>
      </x:c>
      <x:c r="M94" s="25" t="n">
        <x:v>244.81403333333537</x:v>
      </x:c>
      <x:c r="N94" s="25" t="n">
        <x:v>244.81403333333526</x:v>
      </x:c>
      <x:c r="O94" s="25" t="n">
        <x:v>244.81403333333265</x:v>
      </x:c>
      <x:c r="P94" s="25" t="n">
        <x:v>244.81403333332426</x:v>
      </x:c>
      <x:c r="Q94" s="25" t="n">
        <x:v>244.81403333332906</x:v>
      </x:c>
      <x:c r="R94" s="25" t="n">
        <x:v>244.81403333333324</x:v>
      </x:c>
    </x:row>
    <x:row r="95" ht="14" customHeight="1">
      <x:c r="A95" s="1" t="s">
        <x:v>95</x:v>
      </x:c>
      <x:c r="B95" s="6" t="n">
        <x:f>'计算明细'!K95</x:f>
        <x:v>295.53461666666635</x:v>
      </x:c>
      <x:c r="C95" s="25" t="n">
        <x:f>B95*'计算明细'!B95</x:f>
        <x:v>222.65578019666643</x:v>
      </x:c>
      <x:c r="D95" s="25" t="n">
        <x:v>295.53461666664634</x:v>
      </x:c>
      <x:c r="E95" s="25" t="n">
        <x:v>295.53461666666647</x:v>
      </x:c>
      <x:c r="F95" s="25" t="n">
        <x:v>295.53461666666635</x:v>
      </x:c>
      <x:c r="G95" s="25" t="n">
        <x:v>295.53461666666635</x:v>
      </x:c>
      <x:c r="H95" s="25" t="n">
        <x:v>295.53461666666635</x:v>
      </x:c>
      <x:c r="I95" s="25" t="n">
        <x:v>295.5346166666501</x:v>
      </x:c>
      <x:c r="J95" s="25" t="n">
        <x:v>295.5346166666674</x:v>
      </x:c>
      <x:c r="K95" s="25" t="n">
        <x:v>295.53461666666635</x:v>
      </x:c>
      <x:c r="L95" s="25" t="n">
        <x:v>295.53461666666635</x:v>
      </x:c>
      <x:c r="M95" s="25" t="n">
        <x:v>295.5346166666657</x:v>
      </x:c>
      <x:c r="N95" s="25" t="n">
        <x:v>295.53461666666567</x:v>
      </x:c>
      <x:c r="O95" s="25" t="n">
        <x:v>295.53461666666635</x:v>
      </x:c>
      <x:c r="P95" s="25" t="n">
        <x:v>295.5346166666667</x:v>
      </x:c>
      <x:c r="Q95" s="25" t="n">
        <x:v>295.53461666667135</x:v>
      </x:c>
      <x:c r="R95" s="25" t="n">
        <x:v>295.5346166666667</x:v>
      </x:c>
    </x:row>
    <x:row r="96" ht="14" customHeight="1">
      <x:c r="A96" s="1" t="s">
        <x:v>96</x:v>
      </x:c>
      <x:c r="B96" s="6" t="n">
        <x:f>'计算明细'!K96</x:f>
        <x:v>345.77750000000003</x:v>
      </x:c>
      <x:c r="C96" s="25" t="n">
        <x:f>B96*'计算明细'!B96</x:f>
        <x:v>270.50173825</x:v>
      </x:c>
      <x:c r="D96" s="25" t="n">
        <x:v>345.7775000000123</x:v>
      </x:c>
      <x:c r="E96" s="25" t="n">
        <x:v>345.77750000000003</x:v>
      </x:c>
      <x:c r="F96" s="25" t="n">
        <x:v>345.7774999999999</x:v>
      </x:c>
      <x:c r="G96" s="25" t="n">
        <x:v>345.77750000000015</x:v>
      </x:c>
      <x:c r="H96" s="25" t="n">
        <x:v>345.77750000000003</x:v>
      </x:c>
      <x:c r="I96" s="25" t="n">
        <x:v>345.77750000000225</x:v>
      </x:c>
      <x:c r="J96" s="25" t="n">
        <x:v>345.77750000000066</x:v>
      </x:c>
      <x:c r="K96" s="25" t="n">
        <x:v>345.77750000000003</x:v>
      </x:c>
      <x:c r="L96" s="25" t="n">
        <x:v>345.7775</x:v>
      </x:c>
      <x:c r="M96" s="25" t="n">
        <x:v>345.77749999999907</x:v>
      </x:c>
      <x:c r="N96" s="25" t="n">
        <x:v>345.777499999999</x:v>
      </x:c>
      <x:c r="O96" s="25" t="n">
        <x:v>345.77750000000015</x:v>
      </x:c>
      <x:c r="P96" s="25" t="n">
        <x:v>345.77750000000003</x:v>
      </x:c>
      <x:c r="Q96" s="25" t="n">
        <x:v>345.77750000000015</x:v>
      </x:c>
      <x:c r="R96" s="25" t="n">
        <x:v>345.77750000000003</x:v>
      </x:c>
    </x:row>
    <x:row r="97" ht="14" customHeight="1">
      <x:c r="A97" s="1" t="s">
        <x:v>97</x:v>
      </x:c>
      <x:c r="B97" s="6" t="n">
        <x:f>'计算明细'!K97</x:f>
        <x:v>394.93148333333335</x:v>
      </x:c>
      <x:c r="C97" s="25" t="n">
        <x:f>B97*'计算明细'!B97</x:f>
        <x:v>318.117309825</x:v>
      </x:c>
      <x:c r="D97" s="25" t="n">
        <x:v>394.93148333333335</x:v>
      </x:c>
      <x:c r="E97" s="25" t="n">
        <x:v>394.9314833333331</x:v>
      </x:c>
      <x:c r="F97" s="25" t="n">
        <x:v>394.9314833333333</x:v>
      </x:c>
      <x:c r="G97" s="25" t="n">
        <x:v>394.93148333333335</x:v>
      </x:c>
      <x:c r="H97" s="25" t="n">
        <x:v>394.93148333333335</x:v>
      </x:c>
      <x:c r="I97" s="25" t="n">
        <x:v>394.93148333638624</x:v>
      </x:c>
      <x:c r="J97" s="25" t="n">
        <x:v>394.931483333334</x:v>
      </x:c>
      <x:c r="K97" s="25" t="n">
        <x:v>394.931483333334</x:v>
      </x:c>
      <x:c r="L97" s="25" t="n">
        <x:v>394.93148333333335</x:v>
      </x:c>
      <x:c r="M97" s="25" t="n">
        <x:v>394.9314833333341</x:v>
      </x:c>
      <x:c r="N97" s="25" t="n">
        <x:v>394.9314833333443</x:v>
      </x:c>
      <x:c r="O97" s="25" t="n">
        <x:v>394.9314833333331</x:v>
      </x:c>
      <x:c r="P97" s="25" t="n">
        <x:v>394.9314833333336</x:v>
      </x:c>
      <x:c r="Q97" s="25" t="n">
        <x:v>394.9314833333335</x:v>
      </x:c>
      <x:c r="R97" s="25" t="n">
        <x:v>394.93148333333335</x:v>
      </x:c>
    </x:row>
    <x:row r="98" ht="14" customHeight="1">
      <x:c r="A98" s="1" t="s">
        <x:v>98</x:v>
      </x:c>
      <x:c r="B98" s="6" t="n">
        <x:f>'计算明细'!K98</x:f>
        <x:v>445.43165</x:v>
      </x:c>
      <x:c r="C98" s="25" t="n">
        <x:f>B98*'计算明细'!B98</x:f>
        <x:v>368.41651771499994</x:v>
      </x:c>
      <x:c r="D98" s="25" t="n">
        <x:v>445.43165</x:v>
      </x:c>
      <x:c r="E98" s="25" t="n">
        <x:v>445.4316499999998</x:v>
      </x:c>
      <x:c r="F98" s="25" t="n">
        <x:v>445.43164999999965</x:v>
      </x:c>
      <x:c r="G98" s="25" t="n">
        <x:v>445.43165</x:v>
      </x:c>
      <x:c r="H98" s="25" t="n">
        <x:v>445.43165</x:v>
      </x:c>
      <x:c r="I98" s="25" t="n">
        <x:v>445.4316499969709</x:v>
      </x:c>
      <x:c r="J98" s="25" t="n">
        <x:v>445.4316499999998</x:v>
      </x:c>
      <x:c r="K98" s="25" t="n">
        <x:v>445.43165000000005</x:v>
      </x:c>
      <x:c r="L98" s="25" t="n">
        <x:v>445.43165000000005</x:v>
      </x:c>
      <x:c r="M98" s="25" t="n">
        <x:v>445.4316500000008</x:v>
      </x:c>
      <x:c r="N98" s="25" t="n">
        <x:v>445.4316500000144</x:v>
      </x:c>
      <x:c r="O98" s="25" t="n">
        <x:v>445.4316499999998</x:v>
      </x:c>
      <x:c r="P98" s="25" t="n">
        <x:v>445.43165000000636</x:v>
      </x:c>
      <x:c r="Q98" s="25" t="n">
        <x:v>445.4316499999989</x:v>
      </x:c>
      <x:c r="R98" s="25" t="n">
        <x:v>445.43165000000005</x:v>
      </x:c>
    </x:row>
    <x:row r="99" ht="14" customHeight="1">
      <x:c r="A99" s="1" t="s">
        <x:v>99</x:v>
      </x:c>
      <x:c r="B99" s="6" t="n">
        <x:f>'计算明细'!K99</x:f>
        <x:v>495.6965833333332</x:v>
      </x:c>
      <x:c r="C99" s="25" t="n">
        <x:f>B99*'计算明细'!B99</x:f>
        <x:v>422.28391934166655</x:v>
      </x:c>
      <x:c r="D99" s="25" t="n">
        <x:v>495.6965833333332</x:v>
      </x:c>
      <x:c r="E99" s="25" t="n">
        <x:v>495.696583333333</x:v>
      </x:c>
      <x:c r="F99" s="25" t="n">
        <x:v>495.69658333333246</x:v>
      </x:c>
      <x:c r="G99" s="25" t="n">
        <x:v>495.69658333333325</x:v>
      </x:c>
      <x:c r="H99" s="25" t="n">
        <x:v>495.6965833333332</x:v>
      </x:c>
      <x:c r="I99" s="25" t="n">
        <x:v>495.69658333333365</x:v>
      </x:c>
      <x:c r="J99" s="25" t="n">
        <x:v>495.69658333333365</x:v>
      </x:c>
      <x:c r="K99" s="25" t="n">
        <x:v>495.6965833333332</x:v>
      </x:c>
      <x:c r="L99" s="25" t="n">
        <x:v>495.6965833333332</x:v>
      </x:c>
      <x:c r="M99" s="25" t="n">
        <x:v>495.69658333333405</x:v>
      </x:c>
      <x:c r="N99" s="25" t="n">
        <x:v>495.6965833333476</x:v>
      </x:c>
      <x:c r="O99" s="25" t="n">
        <x:v>495.696583333333</x:v>
      </x:c>
      <x:c r="P99" s="25" t="n">
        <x:v>495.6965833333304</x:v>
      </x:c>
      <x:c r="Q99" s="25" t="n">
        <x:v>495.69658333333206</x:v>
      </x:c>
      <x:c r="R99" s="25" t="n">
        <x:v>495.69658333333325</x:v>
      </x:c>
    </x:row>
    <x:row r="100" ht="14" customHeight="1">
      <x:c r="A100" s="1" t="s">
        <x:v>100</x:v>
      </x:c>
      <x:c r="B100" s="6" t="n">
        <x:f>'计算明细'!K100</x:f>
        <x:v>547.1190500000006</x:v>
      </x:c>
      <x:c r="C100" s="25" t="n">
        <x:f>B100*'计算明细'!B100</x:f>
        <x:v>480.9723568550005</x:v>
      </x:c>
      <x:c r="D100" s="25" t="n">
        <x:v>547.1190499999999</x:v>
      </x:c>
      <x:c r="E100" s="25" t="n">
        <x:v>547.1190500000006</x:v>
      </x:c>
      <x:c r="F100" s="25" t="n">
        <x:v>547.1190500000002</x:v>
      </x:c>
      <x:c r="G100" s="25" t="n">
        <x:v>547.1190500000006</x:v>
      </x:c>
      <x:c r="H100" s="25" t="n">
        <x:v>547.1190500000006</x:v>
      </x:c>
      <x:c r="I100" s="25" t="n">
        <x:v>547.1190500000004</x:v>
      </x:c>
      <x:c r="J100" s="25" t="n">
        <x:v>547.1190500000002</x:v>
      </x:c>
      <x:c r="K100" s="25" t="n">
        <x:v>547.11905</x:v>
      </x:c>
      <x:c r="L100" s="25" t="n">
        <x:v>547.11905</x:v>
      </x:c>
      <x:c r="M100" s="25" t="n">
        <x:v>547.1190500000007</x:v>
      </x:c>
      <x:c r="N100" s="25" t="n">
        <x:v>547.1190499999793</x:v>
      </x:c>
      <x:c r="O100" s="25" t="n">
        <x:v>547.1190500000005</x:v>
      </x:c>
      <x:c r="P100" s="25" t="n">
        <x:v>547.1190499999971</x:v>
      </x:c>
      <x:c r="Q100" s="25" t="n">
        <x:v>547.1190500000017</x:v>
      </x:c>
      <x:c r="R100" s="25" t="n">
        <x:v>547.11905</x:v>
      </x:c>
    </x:row>
    <x:row r="101" ht="14" customHeight="1">
      <x:c r="A101" s="1" t="s">
        <x:v>101</x:v>
      </x:c>
      <x:c r="B101" s="6" t="n">
        <x:f>'计算明细'!K101</x:f>
        <x:v>599.9854333333338</x:v>
      </x:c>
      <x:c r="C101" s="25" t="n">
        <x:f>B101*'计算明细'!B101</x:f>
        <x:v>541.4268550400004</x:v>
      </x:c>
      <x:c r="D101" s="25" t="n">
        <x:v>599.9854333333333</x:v>
      </x:c>
      <x:c r="E101" s="25" t="n">
        <x:v>599.9854333333338</x:v>
      </x:c>
      <x:c r="F101" s="25" t="n">
        <x:v>599.9854333333324</x:v>
      </x:c>
      <x:c r="G101" s="25" t="n">
        <x:v>599.9854333333335</x:v>
      </x:c>
      <x:c r="H101" s="25" t="n">
        <x:v>599.9854333333338</x:v>
      </x:c>
      <x:c r="I101" s="25" t="n">
        <x:v>599.9854333333335</x:v>
      </x:c>
      <x:c r="J101" s="25" t="n">
        <x:v>599.9854333333333</x:v>
      </x:c>
      <x:c r="K101" s="25" t="n">
        <x:v>599.985433333334</x:v>
      </x:c>
      <x:c r="L101" s="25" t="n">
        <x:v>599.985433333334</x:v>
      </x:c>
      <x:c r="M101" s="25" t="n">
        <x:v>599.985433333334</x:v>
      </x:c>
      <x:c r="N101" s="25" t="n">
        <x:v>599.9854333333137</x:v>
      </x:c>
      <x:c r="O101" s="25" t="n">
        <x:v>599.9854333333366</x:v>
      </x:c>
      <x:c r="P101" s="25" t="n">
        <x:v>599.9854333333323</x:v>
      </x:c>
      <x:c r="Q101" s="25" t="n">
        <x:v>599.9854333333319</x:v>
      </x:c>
      <x:c r="R101" s="25" t="n">
        <x:v>599.9854333333333</x:v>
      </x:c>
    </x:row>
    <x:row r="102" ht="14" customHeight="1">
      <x:c r="A102" s="1" t="s">
        <x:v>102</x:v>
      </x:c>
      <x:c r="B102" s="6" t="n">
        <x:f>'计算明细'!K102</x:f>
        <x:v>635.4297499999998</x:v>
      </x:c>
      <x:c r="C102" s="25" t="n">
        <x:f>B102*'计算明细'!B102</x:f>
        <x:v>582.2442799249998</x:v>
      </x:c>
      <x:c r="D102" s="25" t="n">
        <x:v>635.4297499999999</x:v>
      </x:c>
      <x:c r="E102" s="25" t="n">
        <x:v>635.4297499999998</x:v>
      </x:c>
      <x:c r="F102" s="25" t="n">
        <x:v>635.4297499999991</x:v>
      </x:c>
      <x:c r="G102" s="25" t="n">
        <x:v>635.4297499999998</x:v>
      </x:c>
      <x:c r="H102" s="25" t="n">
        <x:v>635.4297499999998</x:v>
      </x:c>
      <x:c r="I102" s="25" t="n">
        <x:v>635.4297500000001</x:v>
      </x:c>
      <x:c r="J102" s="25" t="n">
        <x:v>635.4297499999999</x:v>
      </x:c>
      <x:c r="K102" s="25" t="n">
        <x:v>635.4297499999998</x:v>
      </x:c>
      <x:c r="L102" s="25" t="n">
        <x:v>635.4297500000011</x:v>
      </x:c>
      <x:c r="M102" s="25" t="n">
        <x:v>635.4297500000007</x:v>
      </x:c>
      <x:c r="N102" s="25" t="n">
        <x:v>635.4297499999803</x:v>
      </x:c>
      <x:c r="O102" s="25" t="n">
        <x:v>635.4297499999956</x:v>
      </x:c>
      <x:c r="P102" s="25" t="n">
        <x:v>635.4297499999989</x:v>
      </x:c>
      <x:c r="Q102" s="25" t="n">
        <x:v>635.4297499999985</x:v>
      </x:c>
      <x:c r="R102" s="25" t="n">
        <x:v>635.4297499999999</x:v>
      </x:c>
    </x:row>
    <x:row r="103" ht="14" customHeight="1">
      <x:c r="A103" s="1" t="s">
        <x:v>103</x:v>
      </x:c>
      <x:c r="B103" s="6" t="n">
        <x:f>'计算明细'!K103</x:f>
        <x:v>660.8306833333334</x:v>
      </x:c>
      <x:c r="C103" s="25" t="n">
        <x:f>B103*'计算明细'!B103</x:f>
        <x:v>612.19354504</x:v>
      </x:c>
      <x:c r="D103" s="25" t="n">
        <x:v>660.8306833333334</x:v>
      </x:c>
      <x:c r="E103" s="25" t="n">
        <x:v>660.8306833333334</x:v>
      </x:c>
      <x:c r="F103" s="25" t="n">
        <x:v>660.8306833333327</x:v>
      </x:c>
      <x:c r="G103" s="25" t="n">
        <x:v>660.8306833333334</x:v>
      </x:c>
      <x:c r="H103" s="25" t="n">
        <x:v>660.8306833333334</x:v>
      </x:c>
      <x:c r="I103" s="25" t="n">
        <x:v>660.8306833333336</x:v>
      </x:c>
      <x:c r="J103" s="25" t="n">
        <x:v>660.8306833333334</x:v>
      </x:c>
      <x:c r="K103" s="25" t="n">
        <x:v>660.8306833333334</x:v>
      </x:c>
      <x:c r="L103" s="25" t="n">
        <x:v>660.8306833333334</x:v>
      </x:c>
      <x:c r="M103" s="25" t="n">
        <x:v>660.8306833333342</x:v>
      </x:c>
      <x:c r="N103" s="25" t="n">
        <x:v>660.8306833333138</x:v>
      </x:c>
      <x:c r="O103" s="25" t="n">
        <x:v>660.8306833333329</x:v>
      </x:c>
      <x:c r="P103" s="25" t="n">
        <x:v>660.8306833333324</x:v>
      </x:c>
      <x:c r="Q103" s="25" t="n">
        <x:v>660.8306833333324</x:v>
      </x:c>
      <x:c r="R103" s="25" t="n">
        <x:v>660.8306833333334</x:v>
      </x:c>
    </x:row>
    <x:row r="104" ht="14" customHeight="1">
      <x:c r="A104" s="1" t="s">
        <x:v>104</x:v>
      </x:c>
      <x:c r="B104" s="6" t="n">
        <x:f>'计算明细'!K104</x:f>
        <x:v>702.0369333333333</x:v>
      </x:c>
      <x:c r="C104" s="25" t="n">
        <x:f>B104*'计算明细'!B104</x:f>
        <x:v>664.26734632</x:v>
      </x:c>
      <x:c r="D104" s="25" t="n">
        <x:v>702.0369333333575</x:v>
      </x:c>
      <x:c r="E104" s="25" t="n">
        <x:v>702.0369333333333</x:v>
      </x:c>
      <x:c r="F104" s="25" t="n">
        <x:v>702.0369333333325</x:v>
      </x:c>
      <x:c r="G104" s="25" t="n">
        <x:v>702.0369333333333</x:v>
      </x:c>
      <x:c r="H104" s="25" t="n">
        <x:v>702.0369333333333</x:v>
      </x:c>
      <x:c r="I104" s="25" t="n">
        <x:v>702.036933333333</x:v>
      </x:c>
      <x:c r="J104" s="25" t="n">
        <x:v>702.0369333333331</x:v>
      </x:c>
      <x:c r="K104" s="25" t="n">
        <x:v>702.0369333333333</x:v>
      </x:c>
      <x:c r="L104" s="25" t="n">
        <x:v>702.0369333333344</x:v>
      </x:c>
      <x:c r="M104" s="25" t="n">
        <x:v>702.036933333334</x:v>
      </x:c>
      <x:c r="N104" s="25" t="n">
        <x:v>702.0369333333724</x:v>
      </x:c>
      <x:c r="O104" s="25" t="n">
        <x:v>702.0369333333329</x:v>
      </x:c>
      <x:c r="P104" s="25" t="n">
        <x:v>702.0369333333338</x:v>
      </x:c>
      <x:c r="Q104" s="25" t="n">
        <x:v>702.036933333334</x:v>
      </x:c>
      <x:c r="R104" s="25" t="n">
        <x:v>702.0369333333333</x:v>
      </x:c>
    </x:row>
    <x:row r="105" ht="14" customHeight="1">
      <x:c r="A105" s="1" t="s">
        <x:v>105</x:v>
      </x:c>
      <x:c r="B105" s="6" t="n">
        <x:f>'计算明细'!K105</x:f>
        <x:v>738.0657833333331</x:v>
      </x:c>
      <x:c r="C105" s="25" t="n">
        <x:f>B105*'计算明细'!B105</x:f>
        <x:v>719.023686123333</x:v>
      </x:c>
      <x:c r="D105" s="25" t="n">
        <x:v>738.0657833333169</x:v>
      </x:c>
      <x:c r="E105" s="25" t="n">
        <x:v>738.0657833333339</x:v>
      </x:c>
      <x:c r="F105" s="25" t="n">
        <x:v>738.0657833333323</x:v>
      </x:c>
      <x:c r="G105" s="25" t="n">
        <x:v>738.065783333333</x:v>
      </x:c>
      <x:c r="H105" s="25" t="n">
        <x:v>738.0657833333331</x:v>
      </x:c>
      <x:c r="I105" s="25" t="n">
        <x:v>738.065783333333</x:v>
      </x:c>
      <x:c r="J105" s="25" t="n">
        <x:v>738.0657833333327</x:v>
      </x:c>
      <x:c r="K105" s="25" t="n">
        <x:v>738.0657833333331</x:v>
      </x:c>
      <x:c r="L105" s="25" t="n">
        <x:v>738.0657833333332</x:v>
      </x:c>
      <x:c r="M105" s="25" t="n">
        <x:v>738.065783333334</x:v>
      </x:c>
      <x:c r="N105" s="25" t="n">
        <x:v>738.0657833333723</x:v>
      </x:c>
      <x:c r="O105" s="25" t="n">
        <x:v>738.065783333319</x:v>
      </x:c>
      <x:c r="P105" s="25" t="n">
        <x:v>738.0657833333337</x:v>
      </x:c>
      <x:c r="Q105" s="25" t="n">
        <x:v>738.0657833333339</x:v>
      </x:c>
      <x:c r="R105" s="25" t="n">
        <x:v>738.0657833333332</x:v>
      </x:c>
    </x:row>
    <x:row r="106" ht="14" customHeight="1">
      <x:c r="A106" s="1" t="s">
        <x:v>106</x:v>
      </x:c>
      <x:c r="B106" s="6" t="n">
        <x:f>'计算明细'!K106</x:f>
        <x:v>775.9447166666665</x:v>
      </x:c>
      <x:c r="C106" s="25" t="n">
        <x:f>B106*'计算明细'!B106</x:f>
        <x:v>765.2366795766665</x:v>
      </x:c>
      <x:c r="D106" s="25" t="n">
        <x:v>775.9447166666689</x:v>
      </x:c>
      <x:c r="E106" s="25" t="n">
        <x:v>775.9447166666662</x:v>
      </x:c>
      <x:c r="F106" s="25" t="n">
        <x:v>775.9447166666657</x:v>
      </x:c>
      <x:c r="G106" s="25" t="n">
        <x:v>775.9447166666666</x:v>
      </x:c>
      <x:c r="H106" s="25" t="n">
        <x:v>775.9447166666665</x:v>
      </x:c>
      <x:c r="I106" s="25" t="n">
        <x:v>775.9447166666665</x:v>
      </x:c>
      <x:c r="J106" s="25" t="n">
        <x:v>775.9447166666657</x:v>
      </x:c>
      <x:c r="K106" s="25" t="n">
        <x:v>775.9447166666665</x:v>
      </x:c>
      <x:c r="L106" s="25" t="n">
        <x:v>775.9447166666665</x:v>
      </x:c>
      <x:c r="M106" s="25" t="n">
        <x:v>775.9447166666641</x:v>
      </x:c>
      <x:c r="N106" s="25" t="n">
        <x:v>775.944716666646</x:v>
      </x:c>
      <x:c r="O106" s="25" t="n">
        <x:v>775.944716666702</x:v>
      </x:c>
      <x:c r="P106" s="25" t="n">
        <x:v>775.9447166666671</x:v>
      </x:c>
      <x:c r="Q106" s="25" t="n">
        <x:v>775.9447166666732</x:v>
      </x:c>
      <x:c r="R106" s="25" t="n">
        <x:v>775.9447166666666</x:v>
      </x:c>
    </x:row>
    <x:row r="107" ht="14" customHeight="1">
      <x:c r="A107" s="1" t="s">
        <x:v>107</x:v>
      </x:c>
      <x:c r="B107" s="6" t="n">
        <x:f>'计算明细'!K107</x:f>
        <x:v>826.0832499999999</x:v>
      </x:c>
      <x:c r="C107" s="25" t="n">
        <x:f>B107*'计算明细'!B107</x:f>
        <x:v>806.2572519999999</x:v>
      </x:c>
      <x:c r="D107" s="25" t="n">
        <x:v>826.0832499999811</x:v>
      </x:c>
      <x:c r="E107" s="25" t="n">
        <x:v>826.0832499999997</x:v>
      </x:c>
      <x:c r="F107" s="25" t="n">
        <x:v>826.0832499999979</x:v>
      </x:c>
      <x:c r="G107" s="25" t="n">
        <x:v>826.0832499999999</x:v>
      </x:c>
      <x:c r="H107" s="25" t="n">
        <x:v>826.0832499999999</x:v>
      </x:c>
      <x:c r="I107" s="25" t="n">
        <x:v>826.0832499999998</x:v>
      </x:c>
      <x:c r="J107" s="25" t="n">
        <x:v>826.083249999999</x:v>
      </x:c>
      <x:c r="K107" s="25" t="n">
        <x:v>826.0832499999998</x:v>
      </x:c>
      <x:c r="L107" s="25" t="n">
        <x:v>826.0832499999979</x:v>
      </x:c>
      <x:c r="M107" s="25" t="n">
        <x:v>826.0832499999974</x:v>
      </x:c>
      <x:c r="N107" s="25" t="n">
        <x:v>826.0832499999789</x:v>
      </x:c>
      <x:c r="O107" s="25" t="n">
        <x:v>826.0832499999767</x:v>
      </x:c>
      <x:c r="P107" s="25" t="n">
        <x:v>826.0832500000007</x:v>
      </x:c>
      <x:c r="Q107" s="25" t="n">
        <x:v>826.0832499999971</x:v>
      </x:c>
      <x:c r="R107" s="25" t="n">
        <x:v>826.0832499999999</x:v>
      </x:c>
    </x:row>
    <x:row r="108" ht="14" customHeight="1">
      <x:c r="A108" s="1" t="s">
        <x:v>108</x:v>
      </x:c>
      <x:c r="B108" s="6" t="n">
        <x:f>'计算明细'!K108</x:f>
        <x:v>762.4228000000012</x:v>
      </x:c>
      <x:c r="C108" s="25" t="n">
        <x:f>B108*'计算明细'!B108</x:f>
        <x:v>818.9945717600013</x:v>
      </x:c>
      <x:c r="D108" s="25" t="n">
        <x:v>762.422800000011</x:v>
      </x:c>
      <x:c r="E108" s="25" t="n">
        <x:v>762.4228000000018</x:v>
      </x:c>
      <x:c r="F108" s="25" t="n">
        <x:v>762.4228000000019</x:v>
      </x:c>
      <x:c r="G108" s="25" t="n">
        <x:v>762.4228000000019</x:v>
      </x:c>
      <x:c r="H108" s="25" t="n">
        <x:v>693.1539069227165</x:v>
      </x:c>
      <x:c r="I108" s="25" t="n">
        <x:v>762.4228000000012</x:v>
      </x:c>
      <x:c r="J108" s="25" t="n">
        <x:v>762.4228000000013</x:v>
      </x:c>
      <x:c r="K108" s="25" t="n">
        <x:v>762.4227999999999</x:v>
      </x:c>
      <x:c r="L108" s="25" t="n">
        <x:v>762.4228</x:v>
      </x:c>
      <x:c r="M108" s="25" t="n">
        <x:v>762.4227999999999</x:v>
      </x:c>
      <x:c r="N108" s="25" t="n">
        <x:v>762.4228000000005</x:v>
      </x:c>
      <x:c r="O108" s="25" t="n">
        <x:v>762.4228000000003</x:v>
      </x:c>
      <x:c r="P108" s="25" t="n">
        <x:v>762.4228000000003</x:v>
      </x:c>
      <x:c r="Q108" s="25" t="n">
        <x:v>762.4227999999971</x:v>
      </x:c>
      <x:c r="R108" s="25" t="n">
        <x:v>762.4227999999999</x:v>
      </x:c>
    </x:row>
    <x:row r="109" ht="14" customHeight="1">
      <x:c r="A109" s="1" t="s">
        <x:v>109</x:v>
      </x:c>
      <x:c r="B109" s="6" t="n">
        <x:f>'计算明细'!K109</x:f>
        <x:v>636.9826166666667</x:v>
      </x:c>
      <x:c r="C109" s="25" t="n">
        <x:f>B109*'计算明细'!B109</x:f>
        <x:v>784.3166959016667</x:v>
      </x:c>
      <x:c r="D109" s="25" t="n">
        <x:v>636.9826166666655</x:v>
      </x:c>
      <x:c r="E109" s="25" t="n">
        <x:v>636.9826166666667</x:v>
      </x:c>
      <x:c r="F109" s="25" t="n">
        <x:v>636.9826166666664</x:v>
      </x:c>
      <x:c r="G109" s="25" t="n">
        <x:v>636.9826166666664</x:v>
      </x:c>
      <x:c r="H109" s="25" t="n">
        <x:v>484.38039025604985</x:v>
      </x:c>
      <x:c r="I109" s="25" t="n">
        <x:v>636.9826166666664</x:v>
      </x:c>
      <x:c r="J109" s="25" t="n">
        <x:v>636.9826166666661</x:v>
      </x:c>
      <x:c r="K109" s="25" t="n">
        <x:v>636.8159500000014</x:v>
      </x:c>
      <x:c r="L109" s="25" t="n">
        <x:v>636.9826166666667</x:v>
      </x:c>
      <x:c r="M109" s="25" t="n">
        <x:v>636.9826166666661</x:v>
      </x:c>
      <x:c r="N109" s="25" t="n">
        <x:v>636.9826166666693</x:v>
      </x:c>
      <x:c r="O109" s="25" t="n">
        <x:v>636.9826166666669</x:v>
      </x:c>
      <x:c r="P109" s="25" t="n">
        <x:v>636.9826166666679</x:v>
      </x:c>
      <x:c r="Q109" s="25" t="n">
        <x:v>636.9826166666667</x:v>
      </x:c>
      <x:c r="R109" s="25" t="n">
        <x:v>636.9826166666667</x:v>
      </x:c>
    </x:row>
    <x:row r="110" ht="14" customHeight="1">
      <x:c r="A110" s="1" t="s">
        <x:v>110</x:v>
      </x:c>
      <x:c r="B110" s="6" t="n">
        <x:f>'计算明细'!K110</x:f>
        <x:v>621.850212108201</x:v>
      </x:c>
      <x:c r="C110" s="25" t="n">
        <x:f>B110*'计算明细'!B110</x:f>
        <x:v>781.1060514291113</x:v>
      </x:c>
      <x:c r="D110" s="25" t="n">
        <x:v>622.3429244096795</x:v>
      </x:c>
      <x:c r="E110" s="25" t="n">
        <x:v>621.8476210763472</x:v>
      </x:c>
      <x:c r="F110" s="25" t="n">
        <x:v>620.2916177430126</x:v>
      </x:c>
      <x:c r="G110" s="25" t="n">
        <x:v>618.0218944096777</x:v>
      </x:c>
      <x:c r="H110" s="25" t="n">
        <x:v>405.2257402560498</x:v>
      </x:c>
      <x:c r="I110" s="25" t="n">
        <x:v>641.1612999999999</x:v>
      </x:c>
      <x:c r="J110" s="25" t="n">
        <x:v>621.8476210763487</x:v>
      </x:c>
      <x:c r="K110" s="25" t="n">
        <x:v>621.8809544096798</x:v>
      </x:c>
      <x:c r="L110" s="25" t="n">
        <x:v>621.8476210763451</x:v>
      </x:c>
      <x:c r="M110" s="25" t="n">
        <x:v>621.8476210763457</x:v>
      </x:c>
      <x:c r="N110" s="25" t="n">
        <x:v>622.037549266668</x:v>
      </x:c>
      <x:c r="O110" s="25" t="n">
        <x:v>621.8476210763466</x:v>
      </x:c>
      <x:c r="P110" s="25" t="n">
        <x:v>622.3429244096787</x:v>
      </x:c>
      <x:c r="Q110" s="25" t="n">
        <x:v>622.3429244096797</x:v>
      </x:c>
      <x:c r="R110" s="25" t="n">
        <x:v>622.3429244096801</x:v>
      </x:c>
    </x:row>
    <x:row r="111" ht="14" customHeight="1">
      <x:c r="A111" s="1" t="s">
        <x:v>111</x:v>
      </x:c>
      <x:c r="B111" s="6" t="n">
        <x:f>'计算明细'!K111</x:f>
        <x:v>492.85277877486743</x:v>
      </x:c>
      <x:c r="C111" s="25" t="n">
        <x:f>B111*'计算明细'!B111</x:f>
        <x:v>613.4538537410774</x:v>
      </x:c>
      <x:c r="D111" s="25" t="n">
        <x:v>493.3454910763465</x:v>
      </x:c>
      <x:c r="E111" s="25" t="n">
        <x:v>492.8501877430129</x:v>
      </x:c>
      <x:c r="F111" s="25" t="n">
        <x:v>491.2941844096802</x:v>
      </x:c>
      <x:c r="G111" s="25" t="n">
        <x:v>489.02446107634665</x:v>
      </x:c>
      <x:c r="H111" s="25" t="n">
        <x:v>359.5616402560498</x:v>
      </x:c>
      <x:c r="I111" s="25" t="n">
        <x:v>678.8305333333344</x:v>
      </x:c>
      <x:c r="J111" s="25" t="n">
        <x:v>492.8501877430161</x:v>
      </x:c>
      <x:c r="K111" s="25" t="n">
        <x:v>492.8835210763465</x:v>
      </x:c>
      <x:c r="L111" s="25" t="n">
        <x:v>492.85018774301244</x:v>
      </x:c>
      <x:c r="M111" s="25" t="n">
        <x:v>492.85018774301244</x:v>
      </x:c>
      <x:c r="N111" s="25" t="n">
        <x:v>493.0401159333347</x:v>
      </x:c>
      <x:c r="O111" s="25" t="n">
        <x:v>492.8501877430134</x:v>
      </x:c>
      <x:c r="P111" s="25" t="n">
        <x:v>493.3454910763455</x:v>
      </x:c>
      <x:c r="Q111" s="25" t="n">
        <x:v>493.3454910763463</x:v>
      </x:c>
      <x:c r="R111" s="25" t="n">
        <x:v>493.3454910763469</x:v>
      </x:c>
    </x:row>
    <x:row r="112" ht="14" customHeight="1">
      <x:c r="A112" s="1" t="s">
        <x:v>112</x:v>
      </x:c>
      <x:c r="B112" s="6" t="n">
        <x:f>'计算明细'!K112</x:f>
        <x:v>333.6240787748668</x:v>
      </x:c>
      <x:c r="C112" s="25" t="n">
        <x:f>B112*'计算明细'!B112</x:f>
        <x:v>418.53140682307037</x:v>
      </x:c>
      <x:c r="D112" s="25" t="n">
        <x:v>334.1167910763465</x:v>
      </x:c>
      <x:c r="E112" s="25" t="n">
        <x:v>333.6214877430126</x:v>
      </x:c>
      <x:c r="F112" s="25" t="n">
        <x:v>332.06548440968015</x:v>
      </x:c>
      <x:c r="G112" s="25" t="n">
        <x:v>329.7957610763466</x:v>
      </x:c>
      <x:c r="H112" s="25" t="n">
        <x:v>283.66627358938314</x:v>
      </x:c>
      <x:c r="I112" s="25" t="n">
        <x:v>686.2684999999999</x:v>
      </x:c>
      <x:c r="J112" s="25" t="n">
        <x:v>333.621487743016</x:v>
      </x:c>
      <x:c r="K112" s="25" t="n">
        <x:v>333.6548210763465</x:v>
      </x:c>
      <x:c r="L112" s="25" t="n">
        <x:v>333.62148774301227</x:v>
      </x:c>
      <x:c r="M112" s="25" t="n">
        <x:v>333.6214877430125</x:v>
      </x:c>
      <x:c r="N112" s="25" t="n">
        <x:v>333.8114159333347</x:v>
      </x:c>
      <x:c r="O112" s="25" t="n">
        <x:v>333.6214877430134</x:v>
      </x:c>
      <x:c r="P112" s="25" t="n">
        <x:v>334.11679107634546</x:v>
      </x:c>
      <x:c r="Q112" s="25" t="n">
        <x:v>334.11679107634626</x:v>
      </x:c>
      <x:c r="R112" s="25" t="n">
        <x:v>334.11679107634683</x:v>
      </x:c>
    </x:row>
    <x:row r="113" ht="14" customHeight="1">
      <x:c r="A113" s="1" t="s">
        <x:v>113</x:v>
      </x:c>
      <x:c r="B113" s="6" t="n">
        <x:f>'计算明细'!K113</x:f>
        <x:v>177.19329544153393</x:v>
      </x:c>
      <x:c r="C113" s="25" t="n">
        <x:f>B113*'计算明细'!B113</x:f>
        <x:v>221.8814445518888</x:v>
      </x:c>
      <x:c r="D113" s="25" t="n">
        <x:v>177.6860077430131</x:v>
      </x:c>
      <x:c r="E113" s="25" t="n">
        <x:v>177.19070440967965</x:v>
      </x:c>
      <x:c r="F113" s="25" t="n">
        <x:v>175.6347010763468</x:v>
      </x:c>
      <x:c r="G113" s="25" t="n">
        <x:v>173.36497774301318</x:v>
      </x:c>
      <x:c r="H113" s="25" t="n">
        <x:v>210.5688235893831</x:v>
      </x:c>
      <x:c r="I113" s="25" t="n">
        <x:v>364.7139443575332</x:v>
      </x:c>
      <x:c r="J113" s="25" t="n">
        <x:v>177.19070440968267</x:v>
      </x:c>
      <x:c r="K113" s="25" t="n">
        <x:v>177.22403774301313</x:v>
      </x:c>
      <x:c r="L113" s="25" t="n">
        <x:v>177.19070440967886</x:v>
      </x:c>
      <x:c r="M113" s="25" t="n">
        <x:v>177.19070440967914</x:v>
      </x:c>
      <x:c r="N113" s="25" t="n">
        <x:v>177.3806326000013</x:v>
      </x:c>
      <x:c r="O113" s="25" t="n">
        <x:v>177.19070440968</x:v>
      </x:c>
      <x:c r="P113" s="25" t="n">
        <x:v>177.68600774301208</x:v>
      </x:c>
      <x:c r="Q113" s="25" t="n">
        <x:v>177.6860077430128</x:v>
      </x:c>
      <x:c r="R113" s="25" t="n">
        <x:v>177.68600774301345</x:v>
      </x:c>
    </x:row>
    <x:row r="114" ht="14" customHeight="1">
      <x:c r="A114" s="1" t="s">
        <x:v>114</x:v>
      </x:c>
      <x:c r="B114" s="6" t="n">
        <x:f>'计算明细'!K114</x:f>
        <x:v>18.656512108200634</x:v>
      </x:c>
      <x:c r="C114" s="25" t="n">
        <x:f>B114*'计算明细'!B114</x:f>
        <x:v>24.031453246573236</x:v>
      </x:c>
      <x:c r="D114" s="25" t="n">
        <x:v>19.149224409679807</x:v>
      </x:c>
      <x:c r="E114" s="25" t="n">
        <x:v>18.65392107634497</x:v>
      </x:c>
      <x:c r="F114" s="25" t="n">
        <x:v>17.09791774301349</x:v>
      </x:c>
      <x:c r="G114" s="25" t="n">
        <x:v>14.828194409679895</x:v>
      </x:c>
      <x:c r="H114" s="25" t="n">
        <x:v>135.3653735893831</x:v>
      </x:c>
      <x:c r="I114" s="25" t="n">
        <x:v>39.510494357533204</x:v>
      </x:c>
      <x:c r="J114" s="25" t="n">
        <x:v>18.653921076349338</x:v>
      </x:c>
      <x:c r="K114" s="25" t="n">
        <x:v>18.687254409679856</x:v>
      </x:c>
      <x:c r="L114" s="25" t="n">
        <x:v>18.65392107634557</x:v>
      </x:c>
      <x:c r="M114" s="25" t="n">
        <x:v>18.65392107634583</x:v>
      </x:c>
      <x:c r="N114" s="25" t="n">
        <x:v>18.843849266667977</x:v>
      </x:c>
      <x:c r="O114" s="25" t="n">
        <x:v>18.653921076346705</x:v>
      </x:c>
      <x:c r="P114" s="25" t="n">
        <x:v>19.149224409678688</x:v>
      </x:c>
      <x:c r="Q114" s="25" t="n">
        <x:v>19.149224409679505</x:v>
      </x:c>
      <x:c r="R114" s="25" t="n">
        <x:v>19.149224409680148</x:v>
      </x:c>
    </x:row>
    <x:row r="115" ht="14" customHeight="1">
      <x:c r="A115" s="1" t="s">
        <x:v>115</x:v>
      </x:c>
      <x:c r="B115" s="6" t="n">
        <x:f>'计算明细'!K115</x:f>
        <x:v>0</x:v>
      </x:c>
      <x:c r="C115" s="25" t="n">
        <x:f>B115*'计算明细'!B115</x:f>
        <x:v>0</x:v>
      </x:c>
      <x:c r="D115" s="25" t="n">
        <x:v>0</x:v>
      </x:c>
      <x:c r="E115" s="25" t="n">
        <x:v>0</x:v>
      </x:c>
      <x:c r="F115" s="25" t="n">
        <x:v>0</x:v>
      </x:c>
      <x:c r="G115" s="25" t="n">
        <x:v>0</x:v>
      </x:c>
      <x:c r="H115" s="25" t="n">
        <x:v>53.88180692271648</x:v>
      </x:c>
      <x:c r="I115" s="25" t="n">
        <x:v>0</x:v>
      </x:c>
      <x:c r="J115" s="25" t="n">
        <x:v>0</x:v>
      </x:c>
      <x:c r="K115" s="25" t="n">
        <x:v>0</x:v>
      </x:c>
      <x:c r="L115" s="25" t="n">
        <x:v>0</x:v>
      </x:c>
      <x:c r="M115" s="25" t="n">
        <x:v>0</x:v>
      </x:c>
      <x:c r="N115" s="25" t="n">
        <x:v>0</x:v>
      </x:c>
      <x:c r="O115" s="25" t="n">
        <x:v>0</x:v>
      </x:c>
      <x:c r="P115" s="25" t="n">
        <x:v>0</x:v>
      </x:c>
      <x:c r="Q115" s="25" t="n">
        <x:v>0</x:v>
      </x:c>
      <x:c r="R115" s="25" t="n">
        <x:v>0</x:v>
      </x:c>
    </x:row>
    <x:row r="116" ht="14" customHeight="1">
      <x:c r="A116" s="1" t="s">
        <x:v>116</x:v>
      </x:c>
      <x:c r="B116" s="6" t="n">
        <x:f>'计算明细'!K116</x:f>
        <x:v>0</x:v>
      </x:c>
      <x:c r="C116" s="25" t="n">
        <x:f>B116*'计算明细'!B116</x:f>
        <x:v>0</x:v>
      </x:c>
      <x:c r="D116" s="25" t="n">
        <x:v>0</x:v>
      </x:c>
      <x:c r="E116" s="25" t="n">
        <x:v>0</x:v>
      </x:c>
      <x:c r="F116" s="25" t="n">
        <x:v>0</x:v>
      </x:c>
      <x:c r="G116" s="25" t="n">
        <x:v>0</x:v>
      </x:c>
      <x:c r="H116" s="25" t="n">
        <x:v>0</x:v>
      </x:c>
      <x:c r="I116" s="25" t="n">
        <x:v>0</x:v>
      </x:c>
      <x:c r="J116" s="25" t="n">
        <x:v>0</x:v>
      </x:c>
      <x:c r="K116" s="25" t="n">
        <x:v>0</x:v>
      </x:c>
      <x:c r="L116" s="25" t="n">
        <x:v>0</x:v>
      </x:c>
      <x:c r="M116" s="25" t="n">
        <x:v>0</x:v>
      </x:c>
      <x:c r="N116" s="25" t="n">
        <x:v>0</x:v>
      </x:c>
      <x:c r="O116" s="25" t="n">
        <x:v>0</x:v>
      </x:c>
      <x:c r="P116" s="25" t="n">
        <x:v>0</x:v>
      </x:c>
      <x:c r="Q116" s="25" t="n">
        <x:v>0</x:v>
      </x:c>
      <x:c r="R116" s="25" t="n">
        <x:v>0</x:v>
      </x:c>
    </x:row>
    <x:row r="117" ht="14" customHeight="1">
      <x:c r="A117" s="1" t="s">
        <x:v>117</x:v>
      </x:c>
      <x:c r="B117" s="6" t="n">
        <x:f>'计算明细'!K117</x:f>
        <x:v>0</x:v>
      </x:c>
      <x:c r="C117" s="25" t="n">
        <x:f>B117*'计算明细'!B117</x:f>
        <x:v>0</x:v>
      </x:c>
      <x:c r="D117" s="25" t="n">
        <x:v>0</x:v>
      </x:c>
      <x:c r="E117" s="25" t="n">
        <x:v>0</x:v>
      </x:c>
      <x:c r="F117" s="25" t="n">
        <x:v>0</x:v>
      </x:c>
      <x:c r="G117" s="25" t="n">
        <x:v>1.146533333333385</x:v>
      </x:c>
      <x:c r="H117" s="25" t="n">
        <x:v>0</x:v>
      </x:c>
      <x:c r="I117" s="25" t="n">
        <x:v>0</x:v>
      </x:c>
      <x:c r="J117" s="25" t="n">
        <x:v>0</x:v>
      </x:c>
      <x:c r="K117" s="25" t="n">
        <x:v>0</x:v>
      </x:c>
      <x:c r="L117" s="25" t="n">
        <x:v>0</x:v>
      </x:c>
      <x:c r="M117" s="25" t="n">
        <x:v>0</x:v>
      </x:c>
      <x:c r="N117" s="25" t="n">
        <x:v>0</x:v>
      </x:c>
      <x:c r="O117" s="25" t="n">
        <x:v>0</x:v>
      </x:c>
      <x:c r="P117" s="25" t="n">
        <x:v>0</x:v>
      </x:c>
      <x:c r="Q117" s="25" t="n">
        <x:v>0</x:v>
      </x:c>
      <x:c r="R117" s="25" t="n">
        <x:v>0</x:v>
      </x:c>
    </x:row>
    <x:row r="118" ht="14" customHeight="1">
      <x:c r="A118" s="1" t="s">
        <x:v>118</x:v>
      </x:c>
      <x:c r="B118" s="6" t="n">
        <x:f>'计算明细'!K118</x:f>
        <x:v>0</x:v>
      </x:c>
      <x:c r="C118" s="25" t="n">
        <x:f>B118*'计算明细'!B118</x:f>
        <x:v>0</x:v>
      </x:c>
      <x:c r="D118" s="25" t="n">
        <x:v>0</x:v>
      </x:c>
      <x:c r="E118" s="25" t="n">
        <x:v>0</x:v>
      </x:c>
      <x:c r="F118" s="25" t="n">
        <x:v>0</x:v>
      </x:c>
      <x:c r="G118" s="25" t="n">
        <x:v>2.040416666666715</x:v>
      </x:c>
      <x:c r="H118" s="25" t="n">
        <x:v>0</x:v>
      </x:c>
      <x:c r="I118" s="25" t="n">
        <x:v>0</x:v>
      </x:c>
      <x:c r="J118" s="25" t="n">
        <x:v>0</x:v>
      </x:c>
      <x:c r="K118" s="25" t="n">
        <x:v>0</x:v>
      </x:c>
      <x:c r="L118" s="25" t="n">
        <x:v>0</x:v>
      </x:c>
      <x:c r="M118" s="25" t="n">
        <x:v>0</x:v>
      </x:c>
      <x:c r="N118" s="25" t="n">
        <x:v>0</x:v>
      </x:c>
      <x:c r="O118" s="25" t="n">
        <x:v>0</x:v>
      </x:c>
      <x:c r="P118" s="25" t="n">
        <x:v>0</x:v>
      </x:c>
      <x:c r="Q118" s="25" t="n">
        <x:v>0</x:v>
      </x:c>
      <x:c r="R118" s="25" t="n">
        <x:v>0</x:v>
      </x:c>
    </x:row>
    <x:row r="119" ht="14" customHeight="1">
      <x:c r="A119" s="1" t="s">
        <x:v>119</x:v>
      </x:c>
      <x:c r="B119" s="6" t="n">
        <x:f>'计算明细'!K119</x:f>
        <x:v>0</x:v>
      </x:c>
      <x:c r="C119" s="25" t="n">
        <x:f>B119*'计算明细'!B119</x:f>
        <x:v>0</x:v>
      </x:c>
      <x:c r="D119" s="25" t="n">
        <x:v>0</x:v>
      </x:c>
      <x:c r="E119" s="25" t="n">
        <x:v>0</x:v>
      </x:c>
      <x:c r="F119" s="25" t="n">
        <x:v>1.7855666666666061</x:v>
      </x:c>
      <x:c r="G119" s="25" t="n">
        <x:v>3.8259833333333213</x:v>
      </x:c>
      <x:c r="H119" s="25" t="n">
        <x:v>1.7855666666666061</x:v>
      </x:c>
      <x:c r="I119" s="25" t="n">
        <x:v>0</x:v>
      </x:c>
      <x:c r="J119" s="25" t="n">
        <x:v>0</x:v>
      </x:c>
      <x:c r="K119" s="25" t="n">
        <x:v>0</x:v>
      </x:c>
      <x:c r="L119" s="25" t="n">
        <x:v>0</x:v>
      </x:c>
      <x:c r="M119" s="25" t="n">
        <x:v>0</x:v>
      </x:c>
      <x:c r="N119" s="25" t="n">
        <x:v>0</x:v>
      </x:c>
      <x:c r="O119" s="25" t="n">
        <x:v>0</x:v>
      </x:c>
      <x:c r="P119" s="25" t="n">
        <x:v>0</x:v>
      </x:c>
      <x:c r="Q119" s="25" t="n">
        <x:v>0</x:v>
      </x:c>
      <x:c r="R119" s="25" t="n">
        <x:v>0</x:v>
      </x:c>
    </x:row>
    <x:row r="120" ht="14" customHeight="1">
      <x:c r="A120" s="1" t="s">
        <x:v>120</x:v>
      </x:c>
      <x:c r="B120" s="6" t="n">
        <x:f>'计算明细'!K120</x:f>
        <x:v>0.2174666666667993</x:v>
      </x:c>
      <x:c r="C120" s="25" t="n">
        <x:f>B120*'计算明细'!B120</x:f>
        <x:v>0.2929928400001787</x:v>
      </x:c>
      <x:c r="D120" s="25" t="n">
        <x:v>0</x:v>
      </x:c>
      <x:c r="E120" s="25" t="n">
        <x:v>0.2174666666667993</x:v>
      </x:c>
      <x:c r="F120" s="25" t="n">
        <x:v>2.215616666666695</x:v>
      </x:c>
      <x:c r="G120" s="25" t="n">
        <x:v>4.25603333333341</x:v>
      </x:c>
      <x:c r="H120" s="25" t="n">
        <x:v>2.215616666666695</x:v>
      </x:c>
      <x:c r="I120" s="25" t="n">
        <x:v>0</x:v>
      </x:c>
      <x:c r="J120" s="25" t="n">
        <x:v>0.2174666666667993</x:v>
      </x:c>
      <x:c r="K120" s="25" t="n">
        <x:v>0.2174666666667993</x:v>
      </x:c>
      <x:c r="L120" s="25" t="n">
        <x:v>0.2174666666667993</x:v>
      </x:c>
      <x:c r="M120" s="25" t="n">
        <x:v>0.2174666666667993</x:v>
      </x:c>
      <x:c r="N120" s="25" t="n">
        <x:v>0.2174666666667993</x:v>
      </x:c>
      <x:c r="O120" s="25" t="n">
        <x:v>0.2174666666667993</x:v>
      </x:c>
      <x:c r="P120" s="25" t="n">
        <x:v>0</x:v>
      </x:c>
      <x:c r="Q120" s="25" t="n">
        <x:v>0</x:v>
      </x:c>
      <x:c r="R120" s="25" t="n">
        <x:v>0</x:v>
      </x:c>
    </x:row>
    <x:row r="121" ht="14" customHeight="1">
      <x:c r="A121" s="1" t="s">
        <x:v>121</x:v>
      </x:c>
      <x:c r="B121" s="6" t="n">
        <x:f>'计算明细'!K121</x:f>
        <x:v>0</x:v>
      </x:c>
      <x:c r="C121" s="25" t="n">
        <x:f>B121*'计算明细'!B121</x:f>
        <x:v>0</x:v>
      </x:c>
      <x:c r="D121" s="25" t="n">
        <x:v>0</x:v>
      </x:c>
      <x:c r="E121" s="25" t="n">
        <x:v>0</x:v>
      </x:c>
      <x:c r="F121" s="25" t="n">
        <x:v>1.998149999999896</x:v>
      </x:c>
      <x:c r="G121" s="25" t="n">
        <x:v>4.038566666666611</x:v>
      </x:c>
      <x:c r="H121" s="25" t="n">
        <x:v>85.33148333333322</x:v>
      </x:c>
      <x:c r="I121" s="25" t="n">
        <x:v>0</x:v>
      </x:c>
      <x:c r="J121" s="25" t="n">
        <x:v>0</x:v>
      </x:c>
      <x:c r="K121" s="25" t="n">
        <x:v>0</x:v>
      </x:c>
      <x:c r="L121" s="25" t="n">
        <x:v>0</x:v>
      </x:c>
      <x:c r="M121" s="25" t="n">
        <x:v>0</x:v>
      </x:c>
      <x:c r="N121" s="25" t="n">
        <x:v>0</x:v>
      </x:c>
      <x:c r="O121" s="25" t="n">
        <x:v>0</x:v>
      </x:c>
      <x:c r="P121" s="25" t="n">
        <x:v>0</x:v>
      </x:c>
      <x:c r="Q121" s="25" t="n">
        <x:v>0</x:v>
      </x:c>
      <x:c r="R121" s="25" t="n">
        <x:v>0</x:v>
      </x:c>
    </x:row>
    <x:row r="122" ht="14" customHeight="1">
      <x:c r="A122" s="1" t="s">
        <x:v>122</x:v>
      </x:c>
      <x:c r="B122" s="6" t="n">
        <x:f>'计算明细'!K122</x:f>
        <x:v>2.246094840732019</x:v>
      </x:c>
      <x:c r="C122" s="25" t="n">
        <x:f>B122*'计算明细'!B122</x:f>
        <x:v>3.035147958281177</x:v>
      </x:c>
      <x:c r="D122" s="25" t="n">
        <x:v>0</x:v>
      </x:c>
      <x:c r="E122" s="25" t="n">
        <x:v>2.2590500000001157</x:v>
      </x:c>
      <x:c r="F122" s="25" t="n">
        <x:v>4.257200000000012</x:v>
      </x:c>
      <x:c r="G122" s="25" t="n">
        <x:v>6.297616666666727</x:v>
      </x:c>
      <x:c r="H122" s="25" t="n">
        <x:v>170.92386666666667</x:v>
      </x:c>
      <x:c r="I122" s="25" t="n">
        <x:v>0</x:v>
      </x:c>
      <x:c r="J122" s="25" t="n">
        <x:v>2.2590500000001157</x:v>
      </x:c>
      <x:c r="K122" s="25" t="n">
        <x:v>2.2590500000001157</x:v>
      </x:c>
      <x:c r="L122" s="25" t="n">
        <x:v>2.2590500000001157</x:v>
      </x:c>
      <x:c r="M122" s="25" t="n">
        <x:v>2.2590500000001157</x:v>
      </x:c>
      <x:c r="N122" s="25" t="n">
        <x:v>1.3094090483946488</x:v>
      </x:c>
      <x:c r="O122" s="25" t="n">
        <x:v>2.2590500000001157</x:v>
      </x:c>
      <x:c r="P122" s="25" t="n">
        <x:v>0</x:v>
      </x:c>
      <x:c r="Q122" s="25" t="n">
        <x:v>0</x:v>
      </x:c>
      <x:c r="R122" s="25" t="n">
        <x:v>0</x:v>
      </x:c>
    </x:row>
    <x:row r="123" ht="14" customHeight="1">
      <x:c r="A123" s="1" t="s">
        <x:v>123</x:v>
      </x:c>
      <x:c r="B123" s="6" t="n">
        <x:f>'计算明细'!K123</x:f>
        <x:v>48.61748333333276</x:v>
      </x:c>
      <x:c r="C123" s="25" t="n">
        <x:f>B123*'计算明细'!B123</x:f>
        <x:v>65.1474276666659</x:v>
      </x:c>
      <x:c r="D123" s="25" t="n">
        <x:v>48.617483333333894</x:v>
      </x:c>
      <x:c r="E123" s="25" t="n">
        <x:v>48.61748333333328</x:v>
      </x:c>
      <x:c r="F123" s="25" t="n">
        <x:v>48.61748333333328</x:v>
      </x:c>
      <x:c r="G123" s="25" t="n">
        <x:v>48.61748333333328</x:v>
      </x:c>
      <x:c r="H123" s="25" t="n">
        <x:v>255.83726666666658</x:v>
      </x:c>
      <x:c r="I123" s="25" t="n">
        <x:v>0</x:v>
      </x:c>
      <x:c r="J123" s="25" t="n">
        <x:v>48.61748333333313</x:v>
      </x:c>
      <x:c r="K123" s="25" t="n">
        <x:v>48.61748333333328</x:v>
      </x:c>
      <x:c r="L123" s="25" t="n">
        <x:v>48.61748333333541</x:v>
      </x:c>
      <x:c r="M123" s="25" t="n">
        <x:v>48.6174833333348</x:v>
      </x:c>
      <x:c r="N123" s="25" t="n">
        <x:v>48.61748333333328</x:v>
      </x:c>
      <x:c r="O123" s="25" t="n">
        <x:v>48.61748333333313</x:v>
      </x:c>
      <x:c r="P123" s="25" t="n">
        <x:v>48.61748333333374</x:v>
      </x:c>
      <x:c r="Q123" s="25" t="n">
        <x:v>48.61748333333359</x:v>
      </x:c>
      <x:c r="R123" s="25" t="n">
        <x:v>48.61748333333328</x:v>
      </x:c>
    </x:row>
    <x:row r="124" ht="14" customHeight="1">
      <x:c r="A124" s="1" t="s">
        <x:v>124</x:v>
      </x:c>
      <x:c r="B124" s="6" t="n">
        <x:f>'计算明细'!K124</x:f>
        <x:v>215.22684999999947</x:v>
      </x:c>
      <x:c r="C124" s="25" t="n">
        <x:f>B124*'计算明细'!B124</x:f>
        <x:v>290.3194979649993</x:v>
      </x:c>
      <x:c r="D124" s="25" t="n">
        <x:v>215.2268500000006</x:v>
      </x:c>
      <x:c r="E124" s="25" t="n">
        <x:v>215.22685</x:v>
      </x:c>
      <x:c r="F124" s="25" t="n">
        <x:v>215.22685</x:v>
      </x:c>
      <x:c r="G124" s="25" t="n">
        <x:v>215.22685</x:v>
      </x:c>
      <x:c r="H124" s="25" t="n">
        <x:v>339.1133</x:v>
      </x:c>
      <x:c r="I124" s="25" t="n">
        <x:v>0</x:v>
      </x:c>
      <x:c r="J124" s="25" t="n">
        <x:v>215.22684999999984</x:v>
      </x:c>
      <x:c r="K124" s="25" t="n">
        <x:v>215.22685</x:v>
      </x:c>
      <x:c r="L124" s="25" t="n">
        <x:v>215.22685000000106</x:v>
      </x:c>
      <x:c r="M124" s="25" t="n">
        <x:v>215.22685000000152</x:v>
      </x:c>
      <x:c r="N124" s="25" t="n">
        <x:v>215.22685</x:v>
      </x:c>
      <x:c r="O124" s="25" t="n">
        <x:v>215.22684999999984</x:v>
      </x:c>
      <x:c r="P124" s="25" t="n">
        <x:v>215.22685000000047</x:v>
      </x:c>
      <x:c r="Q124" s="25" t="n">
        <x:v>215.2268500000003</x:v>
      </x:c>
      <x:c r="R124" s="25" t="n">
        <x:v>215.22685</x:v>
      </x:c>
    </x:row>
    <x:row r="125" ht="14" customHeight="1">
      <x:c r="A125" s="1" t="s">
        <x:v>125</x:v>
      </x:c>
      <x:c r="B125" s="6" t="n">
        <x:f>'计算明细'!K125</x:f>
        <x:v>382.31969999999944</x:v>
      </x:c>
      <x:c r="C125" s="25" t="n">
        <x:f>B125*'计算明细'!B125</x:f>
        <x:v>533.4124454399993</x:v>
      </x:c>
      <x:c r="D125" s="25" t="n">
        <x:v>382.3197000000006</x:v>
      </x:c>
      <x:c r="E125" s="25" t="n">
        <x:v>382.3197</x:v>
      </x:c>
      <x:c r="F125" s="25" t="n">
        <x:v>382.3197</x:v>
      </x:c>
      <x:c r="G125" s="25" t="n">
        <x:v>382.3197</x:v>
      </x:c>
      <x:c r="H125" s="25" t="n">
        <x:v>422.8728166666666</x:v>
      </x:c>
      <x:c r="I125" s="25" t="n">
        <x:v>48.98636666666653</x:v>
      </x:c>
      <x:c r="J125" s="25" t="n">
        <x:v>382.31969999999984</x:v>
      </x:c>
      <x:c r="K125" s="25" t="n">
        <x:v>382.3197</x:v>
      </x:c>
      <x:c r="L125" s="25" t="n">
        <x:v>382.31970000000103</x:v>
      </x:c>
      <x:c r="M125" s="25" t="n">
        <x:v>382.3197000000015</x:v>
      </x:c>
      <x:c r="N125" s="25" t="n">
        <x:v>382.3197</x:v>
      </x:c>
      <x:c r="O125" s="25" t="n">
        <x:v>382.31969999999984</x:v>
      </x:c>
      <x:c r="P125" s="25" t="n">
        <x:v>382.31970000000047</x:v>
      </x:c>
      <x:c r="Q125" s="25" t="n">
        <x:v>382.3197000000003</x:v>
      </x:c>
      <x:c r="R125" s="25" t="n">
        <x:v>382.3197</x:v>
      </x:c>
    </x:row>
    <x:row r="126" ht="14" customHeight="1">
      <x:c r="A126" s="1" t="s">
        <x:v>126</x:v>
      </x:c>
      <x:c r="B126" s="6" t="n">
        <x:f>'计算明细'!K126</x:f>
        <x:v>549.2022499999994</x:v>
      </x:c>
      <x:c r="C126" s="25" t="n">
        <x:f>B126*'计算明细'!B126</x:f>
        <x:v>671.4546708499992</x:v>
      </x:c>
      <x:c r="D126" s="25" t="n">
        <x:v>549.2022500000005</x:v>
      </x:c>
      <x:c r="E126" s="25" t="n">
        <x:v>549.2022499999999</x:v>
      </x:c>
      <x:c r="F126" s="25" t="n">
        <x:v>549.2022499999999</x:v>
      </x:c>
      <x:c r="G126" s="25" t="n">
        <x:v>549.2022499999999</x:v>
      </x:c>
      <x:c r="H126" s="25" t="n">
        <x:v>506.4220333333333</x:v>
      </x:c>
      <x:c r="I126" s="25" t="n">
        <x:v>382.53558333333314</x:v>
      </x:c>
      <x:c r="J126" s="25" t="n">
        <x:v>549.2022499999998</x:v>
      </x:c>
      <x:c r="K126" s="25" t="n">
        <x:v>549.2022499999999</x:v>
      </x:c>
      <x:c r="L126" s="25" t="n">
        <x:v>549.202250000001</x:v>
      </x:c>
      <x:c r="M126" s="25" t="n">
        <x:v>549.2022500000014</x:v>
      </x:c>
      <x:c r="N126" s="25" t="n">
        <x:v>549.2022499999999</x:v>
      </x:c>
      <x:c r="O126" s="25" t="n">
        <x:v>549.2022500000003</x:v>
      </x:c>
      <x:c r="P126" s="25" t="n">
        <x:v>549.2022500000004</x:v>
      </x:c>
      <x:c r="Q126" s="25" t="n">
        <x:v>549.2022500000003</x:v>
      </x:c>
      <x:c r="R126" s="25" t="n">
        <x:v>549.2022499999999</x:v>
      </x:c>
    </x:row>
    <x:row r="127" ht="14" customHeight="1">
      <x:c r="A127" s="1" t="s">
        <x:v>127</x:v>
      </x:c>
      <x:c r="B127" s="6" t="n">
        <x:f>'计算明细'!K127</x:f>
        <x:v>717.0051166666667</x:v>
      </x:c>
      <x:c r="C127" s="25" t="n">
        <x:f>B127*'计算明细'!B127</x:f>
        <x:v>669.1091748733334</x:v>
      </x:c>
      <x:c r="D127" s="25" t="n">
        <x:v>717.0051166666672</x:v>
      </x:c>
      <x:c r="E127" s="25" t="n">
        <x:v>717.0051166666669</x:v>
      </x:c>
      <x:c r="F127" s="25" t="n">
        <x:v>717.0051166666667</x:v>
      </x:c>
      <x:c r="G127" s="25" t="n">
        <x:v>717.0051166666665</x:v>
      </x:c>
      <x:c r="H127" s="25" t="n">
        <x:v>590.8915666666667</x:v>
      </x:c>
      <x:c r="I127" s="25" t="n">
        <x:v>717.0051166666665</x:v>
      </x:c>
      <x:c r="J127" s="25" t="n">
        <x:v>717.0051166666667</x:v>
      </x:c>
      <x:c r="K127" s="25" t="n">
        <x:v>717.0051166666667</x:v>
      </x:c>
      <x:c r="L127" s="25" t="n">
        <x:v>717.0051166666677</x:v>
      </x:c>
      <x:c r="M127" s="25" t="n">
        <x:v>717.0051166666682</x:v>
      </x:c>
      <x:c r="N127" s="25" t="n">
        <x:v>717.0051166666667</x:v>
      </x:c>
      <x:c r="O127" s="25" t="n">
        <x:v>717.0051166666667</x:v>
      </x:c>
      <x:c r="P127" s="25" t="n">
        <x:v>717.0051166666672</x:v>
      </x:c>
      <x:c r="Q127" s="25" t="n">
        <x:v>717.0051166666669</x:v>
      </x:c>
      <x:c r="R127" s="25" t="n">
        <x:v>717.0051166666667</x:v>
      </x:c>
    </x:row>
    <x:row r="128" ht="14" customHeight="1">
      <x:c r="A128" s="1" t="s">
        <x:v>128</x:v>
      </x:c>
      <x:c r="B128" s="6" t="n">
        <x:f>'计算明细'!K128</x:f>
        <x:v>720.1602999999996</x:v>
      </x:c>
      <x:c r="C128" s="25" t="n">
        <x:f>B128*'计算明细'!B128</x:f>
        <x:v>653.0413600399996</x:v>
      </x:c>
      <x:c r="D128" s="25" t="n">
        <x:v>720.1602999999977</x:v>
      </x:c>
      <x:c r="E128" s="25" t="n">
        <x:v>720.1602999999996</x:v>
      </x:c>
      <x:c r="F128" s="25" t="n">
        <x:v>720.1603</x:v>
      </x:c>
      <x:c r="G128" s="25" t="n">
        <x:v>720.1603</x:v>
      </x:c>
      <x:c r="H128" s="25" t="n">
        <x:v>677.3800833333332</x:v>
      </x:c>
      <x:c r="I128" s="25" t="n">
        <x:v>720.1603000000038</x:v>
      </x:c>
      <x:c r="J128" s="25" t="n">
        <x:v>720.1603</x:v>
      </x:c>
      <x:c r="K128" s="25" t="n">
        <x:v>720.1603000000007</x:v>
      </x:c>
      <x:c r="L128" s="25" t="n">
        <x:v>720.160300000001</x:v>
      </x:c>
      <x:c r="M128" s="25" t="n">
        <x:v>720.1603000000002</x:v>
      </x:c>
      <x:c r="N128" s="25" t="n">
        <x:v>720.1603</x:v>
      </x:c>
      <x:c r="O128" s="25" t="n">
        <x:v>720.1603</x:v>
      </x:c>
      <x:c r="P128" s="25" t="n">
        <x:v>720.1603000000005</x:v>
      </x:c>
      <x:c r="Q128" s="25" t="n">
        <x:v>720.1603</x:v>
      </x:c>
      <x:c r="R128" s="25" t="n">
        <x:v>720.1603</x:v>
      </x:c>
    </x:row>
    <x:row r="129" ht="14" customHeight="1">
      <x:c r="A129" s="1" t="s">
        <x:v>129</x:v>
      </x:c>
      <x:c r="B129" s="6" t="n">
        <x:f>'计算明细'!K129</x:f>
        <x:v>717.0548666666666</x:v>
      </x:c>
      <x:c r="C129" s="25" t="n">
        <x:f>B129*'计算明细'!B129</x:f>
        <x:v>671.9521155533333</x:v>
      </x:c>
      <x:c r="D129" s="25" t="n">
        <x:v>717.0548666666679</x:v>
      </x:c>
      <x:c r="E129" s="25" t="n">
        <x:v>717.0548666666666</x:v>
      </x:c>
      <x:c r="F129" s="25" t="n">
        <x:v>717.0548666666666</x:v>
      </x:c>
      <x:c r="G129" s="25" t="n">
        <x:v>717.0548666666671</x:v>
      </x:c>
      <x:c r="H129" s="25" t="n">
        <x:v>717.0548666666671</x:v>
      </x:c>
      <x:c r="I129" s="25" t="n">
        <x:v>717.0548666666655</x:v>
      </x:c>
      <x:c r="J129" s="25" t="n">
        <x:v>717.0548666666666</x:v>
      </x:c>
      <x:c r="K129" s="25" t="n">
        <x:v>717.0548666666666</x:v>
      </x:c>
      <x:c r="L129" s="25" t="n">
        <x:v>717.0548666666656</x:v>
      </x:c>
      <x:c r="M129" s="25" t="n">
        <x:v>717.0548666666657</x:v>
      </x:c>
      <x:c r="N129" s="25" t="n">
        <x:v>717.0548666666662</x:v>
      </x:c>
      <x:c r="O129" s="25" t="n">
        <x:v>717.0548666666666</x:v>
      </x:c>
      <x:c r="P129" s="25" t="n">
        <x:v>717.0548666666671</x:v>
      </x:c>
      <x:c r="Q129" s="25" t="n">
        <x:v>717.0548666666691</x:v>
      </x:c>
      <x:c r="R129" s="25" t="n">
        <x:v>717.0548666666666</x:v>
      </x:c>
    </x:row>
    <x:row r="130" ht="14" customHeight="1">
      <x:c r="A130" s="1" t="s">
        <x:v>130</x:v>
      </x:c>
      <x:c r="B130" s="6" t="n">
        <x:f>'计算明细'!K130</x:f>
        <x:v>720.4459666666663</x:v>
      </x:c>
      <x:c r="C130" s="25" t="n">
        <x:f>B130*'计算明细'!B130</x:f>
        <x:v>675.129915363333</x:v>
      </x:c>
      <x:c r="D130" s="25" t="n">
        <x:v>720.4459666666669</x:v>
      </x:c>
      <x:c r="E130" s="25" t="n">
        <x:v>720.4459666666662</x:v>
      </x:c>
      <x:c r="F130" s="25" t="n">
        <x:v>720.4459666666664</x:v>
      </x:c>
      <x:c r="G130" s="25" t="n">
        <x:v>720.4459666666669</x:v>
      </x:c>
      <x:c r="H130" s="25" t="n">
        <x:v>720.4459666666662</x:v>
      </x:c>
      <x:c r="I130" s="25" t="n">
        <x:v>720.4459666666654</x:v>
      </x:c>
      <x:c r="J130" s="25" t="n">
        <x:v>720.4459666666667</x:v>
      </x:c>
      <x:c r="K130" s="25" t="n">
        <x:v>720.4459666666663</x:v>
      </x:c>
      <x:c r="L130" s="25" t="n">
        <x:v>720.4459666666681</x:v>
      </x:c>
      <x:c r="M130" s="25" t="n">
        <x:v>720.4459666666677</x:v>
      </x:c>
      <x:c r="N130" s="25" t="n">
        <x:v>720.4459666666662</x:v>
      </x:c>
      <x:c r="O130" s="25" t="n">
        <x:v>720.4459666666662</x:v>
      </x:c>
      <x:c r="P130" s="25" t="n">
        <x:v>720.4459666666676</x:v>
      </x:c>
      <x:c r="Q130" s="25" t="n">
        <x:v>720.445966666666</x:v>
      </x:c>
      <x:c r="R130" s="25" t="n">
        <x:v>720.4459666666667</x:v>
      </x:c>
    </x:row>
    <x:row r="131" ht="14" customHeight="1">
      <x:c r="A131" s="1" t="s">
        <x:v>131</x:v>
      </x:c>
      <x:c r="B131" s="6" t="n">
        <x:f>'计算明细'!K131</x:f>
        <x:v>738.1347166666661</x:v>
      </x:c>
      <x:c r="C131" s="25" t="n">
        <x:f>B131*'计算明细'!B131</x:f>
        <x:v>728.6127788216661</x:v>
      </x:c>
      <x:c r="D131" s="25" t="n">
        <x:v>738.1347166666666</x:v>
      </x:c>
      <x:c r="E131" s="25" t="n">
        <x:v>738.1347166666661</x:v>
      </x:c>
      <x:c r="F131" s="25" t="n">
        <x:v>738.1347166666656</x:v>
      </x:c>
      <x:c r="G131" s="25" t="n">
        <x:v>738.1347166666669</x:v>
      </x:c>
      <x:c r="H131" s="25" t="n">
        <x:v>738.1347166666661</x:v>
      </x:c>
      <x:c r="I131" s="25" t="n">
        <x:v>738.1347166666653</x:v>
      </x:c>
      <x:c r="J131" s="25" t="n">
        <x:v>738.1347166666666</x:v>
      </x:c>
      <x:c r="K131" s="25" t="n">
        <x:v>738.1347166666666</x:v>
      </x:c>
      <x:c r="L131" s="25" t="n">
        <x:v>738.1347166666658</x:v>
      </x:c>
      <x:c r="M131" s="25" t="n">
        <x:v>738.1347166666658</x:v>
      </x:c>
      <x:c r="N131" s="25" t="n">
        <x:v>738.1347166666675</x:v>
      </x:c>
      <x:c r="O131" s="25" t="n">
        <x:v>738.134716666667</x:v>
      </x:c>
      <x:c r="P131" s="25" t="n">
        <x:v>738.1347166666649</x:v>
      </x:c>
      <x:c r="Q131" s="25" t="n">
        <x:v>738.1347166666646</x:v>
      </x:c>
      <x:c r="R131" s="25" t="n">
        <x:v>738.1347166666666</x:v>
      </x:c>
    </x:row>
    <x:row r="132" ht="14" customHeight="1">
      <x:c r="A132" s="1" t="s">
        <x:v>132</x:v>
      </x:c>
      <x:c r="B132" s="6" t="n">
        <x:f>'计算明细'!K132</x:f>
        <x:v>671.6935666666674</x:v>
      </x:c>
      <x:c r="C132" s="25" t="n">
        <x:f>B132*'计算明细'!B132</x:f>
        <x:v>521.5028851600006</x:v>
      </x:c>
      <x:c r="D132" s="25" t="n">
        <x:v>671.6935666666666</x:v>
      </x:c>
      <x:c r="E132" s="25" t="n">
        <x:v>671.6935666666674</x:v>
      </x:c>
      <x:c r="F132" s="25" t="n">
        <x:v>671.6935666666684</x:v>
      </x:c>
      <x:c r="G132" s="25" t="n">
        <x:v>671.6935666666668</x:v>
      </x:c>
      <x:c r="H132" s="25" t="n">
        <x:v>671.6935666666674</x:v>
      </x:c>
      <x:c r="I132" s="25" t="n">
        <x:v>671.6935666666666</x:v>
      </x:c>
      <x:c r="J132" s="25" t="n">
        <x:v>671.6935666666666</x:v>
      </x:c>
      <x:c r="K132" s="25" t="n">
        <x:v>671.6935666666666</x:v>
      </x:c>
      <x:c r="L132" s="25" t="n">
        <x:v>671.6935666666674</x:v>
      </x:c>
      <x:c r="M132" s="25" t="n">
        <x:v>671.6935666666667</x:v>
      </x:c>
      <x:c r="N132" s="25" t="n">
        <x:v>671.6935666666666</x:v>
      </x:c>
      <x:c r="O132" s="25" t="n">
        <x:v>671.6935666666674</x:v>
      </x:c>
      <x:c r="P132" s="25" t="n">
        <x:v>671.6935666666666</x:v>
      </x:c>
      <x:c r="Q132" s="25" t="n">
        <x:v>671.6935666666666</x:v>
      </x:c>
      <x:c r="R132" s="25" t="n">
        <x:v>671.6935666666666</x:v>
      </x:c>
    </x:row>
    <x:row r="133" ht="14" customHeight="1">
      <x:c r="A133" s="1" t="s">
        <x:v>133</x:v>
      </x:c>
      <x:c r="B133" s="6" t="n">
        <x:f>'计算明细'!K133</x:f>
        <x:v>727.1236500000007</x:v>
      </x:c>
      <x:c r="C133" s="25" t="n">
        <x:f>B133*'计算明细'!B133</x:f>
        <x:v>306.04634428500026</x:v>
      </x:c>
      <x:c r="D133" s="25" t="n">
        <x:v>727.12365</x:v>
      </x:c>
      <x:c r="E133" s="25" t="n">
        <x:v>727.1236500000007</x:v>
      </x:c>
      <x:c r="F133" s="25" t="n">
        <x:v>727.1236500000016</x:v>
      </x:c>
      <x:c r="G133" s="25" t="n">
        <x:v>727.1236500000001</x:v>
      </x:c>
      <x:c r="H133" s="25" t="n">
        <x:v>643.7903166666674</x:v>
      </x:c>
      <x:c r="I133" s="25" t="n">
        <x:v>893.7903166666663</x:v>
      </x:c>
      <x:c r="J133" s="25" t="n">
        <x:v>727.1236499999998</x:v>
      </x:c>
      <x:c r="K133" s="25" t="n">
        <x:v>727.1236499999998</x:v>
      </x:c>
      <x:c r="L133" s="25" t="n">
        <x:v>727.1236500000007</x:v>
      </x:c>
      <x:c r="M133" s="25" t="n">
        <x:v>727.1236500000001</x:v>
      </x:c>
      <x:c r="N133" s="25" t="n">
        <x:v>727.1236499999998</x:v>
      </x:c>
      <x:c r="O133" s="25" t="n">
        <x:v>727.1236500000007</x:v>
      </x:c>
      <x:c r="P133" s="25" t="n">
        <x:v>727.1236499999998</x:v>
      </x:c>
      <x:c r="Q133" s="25" t="n">
        <x:v>727.1236499999998</x:v>
      </x:c>
      <x:c r="R133" s="25" t="n">
        <x:v>727.12365</x:v>
      </x:c>
    </x:row>
    <x:row r="134" ht="14" customHeight="1">
      <x:c r="A134" s="1" t="s">
        <x:v>134</x:v>
      </x:c>
      <x:c r="B134" s="6" t="n">
        <x:f>'计算明细'!K134</x:f>
        <x:v>884.8989000000007</x:v>
      </x:c>
      <x:c r="C134" s="25" t="n">
        <x:f>B134*'计算明细'!B134</x:f>
        <x:v>341.4824855100003</x:v>
      </x:c>
      <x:c r="D134" s="25" t="n">
        <x:v>884.8988999999999</x:v>
      </x:c>
      <x:c r="E134" s="25" t="n">
        <x:v>884.8989000000007</x:v>
      </x:c>
      <x:c r="F134" s="25" t="n">
        <x:v>884.8989000000016</x:v>
      </x:c>
      <x:c r="G134" s="25" t="n">
        <x:v>884.8989000000001</x:v>
      </x:c>
      <x:c r="H134" s="25" t="n">
        <x:v>718.2322333333341</x:v>
      </x:c>
      <x:c r="I134" s="25" t="n">
        <x:v>1218.232233333333</x:v>
      </x:c>
      <x:c r="J134" s="25" t="n">
        <x:v>884.8988999999998</x:v>
      </x:c>
      <x:c r="K134" s="25" t="n">
        <x:v>884.8988999999998</x:v>
      </x:c>
      <x:c r="L134" s="25" t="n">
        <x:v>884.8989000000007</x:v>
      </x:c>
      <x:c r="M134" s="25" t="n">
        <x:v>884.8989000000001</x:v>
      </x:c>
      <x:c r="N134" s="25" t="n">
        <x:v>884.8988999999998</x:v>
      </x:c>
      <x:c r="O134" s="25" t="n">
        <x:v>884.8989000000007</x:v>
      </x:c>
      <x:c r="P134" s="25" t="n">
        <x:v>884.8988999999998</x:v>
      </x:c>
      <x:c r="Q134" s="25" t="n">
        <x:v>884.8988999999998</x:v>
      </x:c>
      <x:c r="R134" s="25" t="n">
        <x:v>884.8988999999999</x:v>
      </x:c>
    </x:row>
    <x:row r="135" ht="14" customHeight="1">
      <x:c r="A135" s="1" t="s">
        <x:v>135</x:v>
      </x:c>
      <x:c r="B135" s="6" t="n">
        <x:f>'计算明细'!K135</x:f>
        <x:v>902.1593833333341</x:v>
      </x:c>
      <x:c r="C135" s="25" t="n">
        <x:f>B135*'计算明细'!B135</x:f>
        <x:v>394.06321864000034</x:v>
      </x:c>
      <x:c r="D135" s="25" t="n">
        <x:v>735.4927166666666</x:v>
      </x:c>
      <x:c r="E135" s="25" t="n">
        <x:v>902.1593833333341</x:v>
      </x:c>
      <x:c r="F135" s="25" t="n">
        <x:v>983.3391642063098</x:v>
      </x:c>
      <x:c r="G135" s="25" t="n">
        <x:v>983.3391642063095</x:v>
      </x:c>
      <x:c r="H135" s="25" t="n">
        <x:v>818.8260500000006</x:v>
      </x:c>
      <x:c r="I135" s="25" t="n">
        <x:v>937.8846187517684</x:v>
      </x:c>
      <x:c r="J135" s="25" t="n">
        <x:v>902.1593833333332</x:v>
      </x:c>
      <x:c r="K135" s="25" t="n">
        <x:v>983.3391642063098</x:v>
      </x:c>
      <x:c r="L135" s="25" t="n">
        <x:v>902.1593833333341</x:v>
      </x:c>
      <x:c r="M135" s="25" t="n">
        <x:v>983.3391642063102</x:v>
      </x:c>
      <x:c r="N135" s="25" t="n">
        <x:v>902.1593833333332</x:v>
      </x:c>
      <x:c r="O135" s="25" t="n">
        <x:v>902.1593833333341</x:v>
      </x:c>
      <x:c r="P135" s="25" t="n">
        <x:v>902.1593833333332</x:v>
      </x:c>
      <x:c r="Q135" s="25" t="n">
        <x:v>902.1593833333332</x:v>
      </x:c>
      <x:c r="R135" s="25" t="n">
        <x:v>902.1593833333333</x:v>
      </x:c>
    </x:row>
    <x:row r="136" ht="14" customHeight="1">
      <x:c r="A136" s="1" t="s">
        <x:v>136</x:v>
      </x:c>
      <x:c r="B136" s="6" t="n">
        <x:f>'计算明细'!K136</x:f>
        <x:v>986.2863089602739</x:v>
      </x:c>
      <x:c r="C136" s="25" t="n">
        <x:f>B136*'计算明细'!B136</x:f>
        <x:v>414.042992501523</x:v>
      </x:c>
      <x:c r="D136" s="25" t="n">
        <x:v>896.98855</x:v>
      </x:c>
      <x:c r="E136" s="25" t="n">
        <x:v>986.2863089602743</x:v>
      </x:c>
      <x:c r="F136" s="25" t="n">
        <x:v>978.1683308729764</x:v>
      </x:c>
      <x:c r="G136" s="25" t="n">
        <x:v>978.1683308729763</x:v>
      </x:c>
      <x:c r="H136" s="25" t="n">
        <x:v>896.9885500000006</x:v>
      </x:c>
      <x:c r="I136" s="25" t="n">
        <x:v>932.7137854184308</x:v>
      </x:c>
      <x:c r="J136" s="25" t="n">
        <x:v>986.2863089602744</x:v>
      </x:c>
      <x:c r="K136" s="25" t="n">
        <x:v>978.1683308729764</x:v>
      </x:c>
      <x:c r="L136" s="25" t="n">
        <x:v>986.2863089602739</x:v>
      </x:c>
      <x:c r="M136" s="25" t="n">
        <x:v>978.1683308729764</x:v>
      </x:c>
      <x:c r="N136" s="25" t="n">
        <x:v>986.2863089602761</x:v>
      </x:c>
      <x:c r="O136" s="25" t="n">
        <x:v>986.2863089602738</x:v>
      </x:c>
      <x:c r="P136" s="25" t="n">
        <x:v>986.2863089602743</x:v>
      </x:c>
      <x:c r="Q136" s="25" t="n">
        <x:v>986.286308960274</x:v>
      </x:c>
      <x:c r="R136" s="25" t="n">
        <x:v>982.0340347240705</x:v>
      </x:c>
    </x:row>
    <x:row r="137" ht="14" customHeight="1">
      <x:c r="A137" s="1" t="s">
        <x:v>137</x:v>
      </x:c>
      <x:c r="B137" s="6" t="n">
        <x:f>'计算明细'!K137</x:f>
        <x:v>987.0576256269403</x:v>
      </x:c>
      <x:c r="C137" s="25" t="n">
        <x:f>B137*'计算明细'!B137</x:f>
        <x:v>413.1823220874372</x:v>
      </x:c>
      <x:c r="D137" s="25" t="n">
        <x:v>1064.4265333333333</x:v>
      </x:c>
      <x:c r="E137" s="25" t="n">
        <x:v>987.0576256269408</x:v>
      </x:c>
      <x:c r="F137" s="25" t="n">
        <x:v>978.9396475396427</x:v>
      </x:c>
      <x:c r="G137" s="25" t="n">
        <x:v>978.939647539643</x:v>
      </x:c>
      <x:c r="H137" s="25" t="n">
        <x:v>981.0932000000005</x:v>
      </x:c>
      <x:c r="I137" s="25" t="n">
        <x:v>933.4851020850974</x:v>
      </x:c>
      <x:c r="J137" s="25" t="n">
        <x:v>987.0576256269408</x:v>
      </x:c>
      <x:c r="K137" s="25" t="n">
        <x:v>978.939647539643</x:v>
      </x:c>
      <x:c r="L137" s="25" t="n">
        <x:v>987.0576256269406</x:v>
      </x:c>
      <x:c r="M137" s="25" t="n">
        <x:v>978.939647539643</x:v>
      </x:c>
      <x:c r="N137" s="25" t="n">
        <x:v>987.0576256269414</x:v>
      </x:c>
      <x:c r="O137" s="25" t="n">
        <x:v>987.0576256269405</x:v>
      </x:c>
      <x:c r="P137" s="25" t="n">
        <x:v>987.0576256269408</x:v>
      </x:c>
      <x:c r="Q137" s="25" t="n">
        <x:v>987.0576256269408</x:v>
      </x:c>
      <x:c r="R137" s="25" t="n">
        <x:v>982.8053513907371</x:v>
      </x:c>
    </x:row>
    <x:row r="138" ht="14" customHeight="1">
      <x:c r="A138" s="1" t="s">
        <x:v>138</x:v>
      </x:c>
      <x:c r="B138" s="6" t="n">
        <x:f>'计算明细'!K138</x:f>
        <x:v>989.3785256269405</x:v>
      </x:c>
      <x:c r="C138" s="25" t="n">
        <x:f>B138*'计算明细'!B138</x:f>
        <x:v>419.59543271838544</x:v>
      </x:c>
      <x:c r="D138" s="25" t="n">
        <x:v>900.3247189305182</x:v>
      </x:c>
      <x:c r="E138" s="25" t="n">
        <x:v>989.3785256269408</x:v>
      </x:c>
      <x:c r="F138" s="25" t="n">
        <x:v>981.2605475396427</x:v>
      </x:c>
      <x:c r="G138" s="25" t="n">
        <x:v>981.2605475396431</x:v>
      </x:c>
      <x:c r="H138" s="25" t="n">
        <x:v>1042.9529653670077</x:v>
      </x:c>
      <x:c r="I138" s="25" t="n">
        <x:v>935.8060020850974</x:v>
      </x:c>
      <x:c r="J138" s="25" t="n">
        <x:v>989.3785256269408</x:v>
      </x:c>
      <x:c r="K138" s="25" t="n">
        <x:v>981.2605475396431</x:v>
      </x:c>
      <x:c r="L138" s="25" t="n">
        <x:v>989.3785256269402</x:v>
      </x:c>
      <x:c r="M138" s="25" t="n">
        <x:v>981.2605475396431</x:v>
      </x:c>
      <x:c r="N138" s="25" t="n">
        <x:v>989.3785256269414</x:v>
      </x:c>
      <x:c r="O138" s="25" t="n">
        <x:v>989.3785256269404</x:v>
      </x:c>
      <x:c r="P138" s="25" t="n">
        <x:v>989.3785256269408</x:v>
      </x:c>
      <x:c r="Q138" s="25" t="n">
        <x:v>989.3785256269408</x:v>
      </x:c>
      <x:c r="R138" s="25" t="n">
        <x:v>985.126251390737</x:v>
      </x:c>
    </x:row>
    <x:row r="139" ht="14" customHeight="1">
      <x:c r="A139" s="1" t="s">
        <x:v>139</x:v>
      </x:c>
      <x:c r="B139" s="6" t="n">
        <x:f>'计算明细'!K139</x:f>
        <x:v>989.1715256269405</x:v>
      </x:c>
      <x:c r="C139" s="25" t="n">
        <x:f>B139*'计算明细'!B139</x:f>
        <x:v>419.1119754081347</x:v>
      </x:c>
      <x:c r="D139" s="25" t="n">
        <x:v>959.2740706722232</x:v>
      </x:c>
      <x:c r="E139" s="25" t="n">
        <x:v>989.1715256269408</x:v>
      </x:c>
      <x:c r="F139" s="25" t="n">
        <x:v>981.0535475396429</x:v>
      </x:c>
      <x:c r="G139" s="25" t="n">
        <x:v>981.053547539643</x:v>
      </x:c>
      <x:c r="H139" s="25" t="n">
        <x:v>1042.745965367009</x:v>
      </x:c>
      <x:c r="I139" s="25" t="n">
        <x:v>935.5990020850975</x:v>
      </x:c>
      <x:c r="J139" s="25" t="n">
        <x:v>989.1715256269408</x:v>
      </x:c>
      <x:c r="K139" s="25" t="n">
        <x:v>981.0535475396432</x:v>
      </x:c>
      <x:c r="L139" s="25" t="n">
        <x:v>989.1715256269401</x:v>
      </x:c>
      <x:c r="M139" s="25" t="n">
        <x:v>981.053547539643</x:v>
      </x:c>
      <x:c r="N139" s="25" t="n">
        <x:v>989.1715256269414</x:v>
      </x:c>
      <x:c r="O139" s="25" t="n">
        <x:v>989.1715256269405</x:v>
      </x:c>
      <x:c r="P139" s="25" t="n">
        <x:v>989.1715256269408</x:v>
      </x:c>
      <x:c r="Q139" s="25" t="n">
        <x:v>989.1715256269408</x:v>
      </x:c>
      <x:c r="R139" s="25" t="n">
        <x:v>984.919251390737</x:v>
      </x:c>
    </x:row>
    <x:row r="140" ht="14" customHeight="1">
      <x:c r="A140" s="1" t="s">
        <x:v>140</x:v>
      </x:c>
      <x:c r="B140" s="6" t="n">
        <x:f>'计算明细'!K140</x:f>
        <x:v>990.4612422936071</x:v>
      </x:c>
      <x:c r="C140" s="25" t="n">
        <x:f>B140*'计算明细'!B140</x:f>
        <x:v>420.74793572632433</x:v>
      </x:c>
      <x:c r="D140" s="25" t="n">
        <x:v>901.1634833333333</x:v>
      </x:c>
      <x:c r="E140" s="25" t="n">
        <x:v>990.4612422936075</x:v>
      </x:c>
      <x:c r="F140" s="25" t="n">
        <x:v>982.3432642063095</x:v>
      </x:c>
      <x:c r="G140" s="25" t="n">
        <x:v>982.3432642063096</x:v>
      </x:c>
      <x:c r="H140" s="25" t="n">
        <x:v>1044.0356820336756</x:v>
      </x:c>
      <x:c r="I140" s="25" t="n">
        <x:v>936.8887187517641</x:v>
      </x:c>
      <x:c r="J140" s="25" t="n">
        <x:v>990.4612422936075</x:v>
      </x:c>
      <x:c r="K140" s="25" t="n">
        <x:v>982.3432642063099</x:v>
      </x:c>
      <x:c r="L140" s="25" t="n">
        <x:v>990.4612422936068</x:v>
      </x:c>
      <x:c r="M140" s="25" t="n">
        <x:v>982.3432642063096</x:v>
      </x:c>
      <x:c r="N140" s="25" t="n">
        <x:v>990.461242293608</x:v>
      </x:c>
      <x:c r="O140" s="25" t="n">
        <x:v>990.461242293607</x:v>
      </x:c>
      <x:c r="P140" s="25" t="n">
        <x:v>990.4612422936075</x:v>
      </x:c>
      <x:c r="Q140" s="25" t="n">
        <x:v>990.4612422936075</x:v>
      </x:c>
      <x:c r="R140" s="25" t="n">
        <x:v>986.2089680574038</x:v>
      </x:c>
    </x:row>
    <x:row r="141" ht="14" customHeight="1">
      <x:c r="A141" s="1" t="s">
        <x:v>141</x:v>
      </x:c>
      <x:c r="B141" s="6" t="n">
        <x:f>'计算明细'!K141</x:f>
        <x:v>991.9897256269405</x:v>
      </x:c>
      <x:c r="C141" s="25" t="n">
        <x:f>B141*'计算明细'!B141</x:f>
        <x:v>420.60364366582274</x:v>
      </x:c>
      <x:c r="D141" s="25" t="n">
        <x:v>1069.3586333333333</x:v>
      </x:c>
      <x:c r="E141" s="25" t="n">
        <x:v>991.9897256269408</x:v>
      </x:c>
      <x:c r="F141" s="25" t="n">
        <x:v>983.871747539643</x:v>
      </x:c>
      <x:c r="G141" s="25" t="n">
        <x:v>983.871747539643</x:v>
      </x:c>
      <x:c r="H141" s="25" t="n">
        <x:v>1045.564165367009</x:v>
      </x:c>
      <x:c r="I141" s="25" t="n">
        <x:v>938.4172020850975</x:v>
      </x:c>
      <x:c r="J141" s="25" t="n">
        <x:v>991.9897256269408</x:v>
      </x:c>
      <x:c r="K141" s="25" t="n">
        <x:v>983.8717475396434</x:v>
      </x:c>
      <x:c r="L141" s="25" t="n">
        <x:v>991.9897256269402</x:v>
      </x:c>
      <x:c r="M141" s="25" t="n">
        <x:v>983.8717475396434</x:v>
      </x:c>
      <x:c r="N141" s="25" t="n">
        <x:v>991.9897256269414</x:v>
      </x:c>
      <x:c r="O141" s="25" t="n">
        <x:v>991.9897256269405</x:v>
      </x:c>
      <x:c r="P141" s="25" t="n">
        <x:v>991.9897256269408</x:v>
      </x:c>
      <x:c r="Q141" s="25" t="n">
        <x:v>991.9897256269408</x:v>
      </x:c>
      <x:c r="R141" s="25" t="n">
        <x:v>987.7374513907371</x:v>
      </x:c>
    </x:row>
    <x:row r="142" ht="14" customHeight="1">
      <x:c r="A142" s="1" t="s">
        <x:v>142</x:v>
      </x:c>
      <x:c r="B142" s="6" t="n">
        <x:f>'计算明细'!K142</x:f>
        <x:v>992.9612756269404</x:v>
      </x:c>
      <x:c r="C142" s="25" t="n">
        <x:f>B142*'计算明细'!B142</x:f>
        <x:v>419.02965831456885</x:v>
      </x:c>
      <x:c r="D142" s="25" t="n">
        <x:v>1236.9968499999998</x:v>
      </x:c>
      <x:c r="E142" s="25" t="n">
        <x:v>992.9612756269407</x:v>
      </x:c>
      <x:c r="F142" s="25" t="n">
        <x:v>984.8432975396429</x:v>
      </x:c>
      <x:c r="G142" s="25" t="n">
        <x:v>984.8432975396429</x:v>
      </x:c>
      <x:c r="H142" s="25" t="n">
        <x:v>1046.5357153670088</x:v>
      </x:c>
      <x:c r="I142" s="25" t="n">
        <x:v>939.3887520850976</x:v>
      </x:c>
      <x:c r="J142" s="25" t="n">
        <x:v>992.9612756269408</x:v>
      </x:c>
      <x:c r="K142" s="25" t="n">
        <x:v>984.8432975396432</x:v>
      </x:c>
      <x:c r="L142" s="25" t="n">
        <x:v>992.9612756269404</x:v>
      </x:c>
      <x:c r="M142" s="25" t="n">
        <x:v>984.8432975396432</x:v>
      </x:c>
      <x:c r="N142" s="25" t="n">
        <x:v>992.9612756269404</x:v>
      </x:c>
      <x:c r="O142" s="25" t="n">
        <x:v>992.9612756269404</x:v>
      </x:c>
      <x:c r="P142" s="25" t="n">
        <x:v>992.9612756269407</x:v>
      </x:c>
      <x:c r="Q142" s="25" t="n">
        <x:v>992.9612756269407</x:v>
      </x:c>
      <x:c r="R142" s="25" t="n">
        <x:v>988.7090013907371</x:v>
      </x:c>
    </x:row>
    <x:row r="143" ht="14" customHeight="1">
      <x:c r="A143" s="1" t="s">
        <x:v>143</x:v>
      </x:c>
      <x:c r="B143" s="6" t="n">
        <x:f>'计算明细'!K143</x:f>
        <x:v>994.2464756269405</x:v>
      </x:c>
      <x:c r="C143" s="25" t="n">
        <x:f>B143*'计算明细'!B143</x:f>
        <x:v>421.5605056658228</x:v>
      </x:c>
      <x:c r="D143" s="25" t="n">
        <x:v>1071.6153833333333</x:v>
      </x:c>
      <x:c r="E143" s="25" t="n">
        <x:v>994.2464756269408</x:v>
      </x:c>
      <x:c r="F143" s="25" t="n">
        <x:v>986.1284975396429</x:v>
      </x:c>
      <x:c r="G143" s="25" t="n">
        <x:v>986.1284975396429</x:v>
      </x:c>
      <x:c r="H143" s="25" t="n">
        <x:v>1047.8209153670089</x:v>
      </x:c>
      <x:c r="I143" s="25" t="n">
        <x:v>940.6739520850975</x:v>
      </x:c>
      <x:c r="J143" s="25" t="n">
        <x:v>994.2464756269411</x:v>
      </x:c>
      <x:c r="K143" s="25" t="n">
        <x:v>986.1284975396431</x:v>
      </x:c>
      <x:c r="L143" s="25" t="n">
        <x:v>994.2464756269407</x:v>
      </x:c>
      <x:c r="M143" s="25" t="n">
        <x:v>986.1284975396431</x:v>
      </x:c>
      <x:c r="N143" s="25" t="n">
        <x:v>994.2464756269405</x:v>
      </x:c>
      <x:c r="O143" s="25" t="n">
        <x:v>994.2464756269403</x:v>
      </x:c>
      <x:c r="P143" s="25" t="n">
        <x:v>994.2464756269407</x:v>
      </x:c>
      <x:c r="Q143" s="25" t="n">
        <x:v>994.2464756269407</x:v>
      </x:c>
      <x:c r="R143" s="25" t="n">
        <x:v>989.9942013907372</x:v>
      </x:c>
    </x:row>
    <x:row r="144" ht="14" customHeight="1">
      <x:c r="A144" s="1" t="s">
        <x:v>144</x:v>
      </x:c>
      <x:c r="B144" s="6" t="n">
        <x:f>'计算明细'!K144</x:f>
        <x:v>995.8079256269405</x:v>
      </x:c>
      <x:c r="C144" s="25" t="n">
        <x:f>B144*'计算明细'!B144</x:f>
        <x:v>425.30956503526625</x:v>
      </x:c>
      <x:c r="D144" s="25" t="n">
        <x:v>906.5101666666666</x:v>
      </x:c>
      <x:c r="E144" s="25" t="n">
        <x:v>995.8079256269405</x:v>
      </x:c>
      <x:c r="F144" s="25" t="n">
        <x:v>987.6899475396427</x:v>
      </x:c>
      <x:c r="G144" s="25" t="n">
        <x:v>987.6899475396428</x:v>
      </x:c>
      <x:c r="H144" s="25" t="n">
        <x:v>1049.3823653670088</x:v>
      </x:c>
      <x:c r="I144" s="25" t="n">
        <x:v>942.2354020850976</x:v>
      </x:c>
      <x:c r="J144" s="25" t="n">
        <x:v>995.8079256269409</x:v>
      </x:c>
      <x:c r="K144" s="25" t="n">
        <x:v>987.6899475396418</x:v>
      </x:c>
      <x:c r="L144" s="25" t="n">
        <x:v>995.8079256269407</x:v>
      </x:c>
      <x:c r="M144" s="25" t="n">
        <x:v>987.6899475396432</x:v>
      </x:c>
      <x:c r="N144" s="25" t="n">
        <x:v>995.8079256269405</x:v>
      </x:c>
      <x:c r="O144" s="25" t="n">
        <x:v>995.8079256269405</x:v>
      </x:c>
      <x:c r="P144" s="25" t="n">
        <x:v>995.8079256269407</x:v>
      </x:c>
      <x:c r="Q144" s="25" t="n">
        <x:v>995.8079256269407</x:v>
      </x:c>
      <x:c r="R144" s="25" t="n">
        <x:v>991.555651390737</x:v>
      </x:c>
    </x:row>
    <x:row r="145" ht="14" customHeight="1">
      <x:c r="A145" s="1" t="s">
        <x:v>145</x:v>
      </x:c>
      <x:c r="B145" s="6" t="n">
        <x:f>'计算明细'!K145</x:f>
        <x:v>996.7520756269405</x:v>
      </x:c>
      <x:c r="C145" s="25" t="n">
        <x:f>B145*'计算明细'!B145</x:f>
        <x:v>426.21118753807974</x:v>
      </x:c>
      <x:c r="D145" s="25" t="n">
        <x:v>1074.1209833333332</x:v>
      </x:c>
      <x:c r="E145" s="25" t="n">
        <x:v>996.7520756269383</x:v>
      </x:c>
      <x:c r="F145" s="25" t="n">
        <x:v>988.6340975396408</x:v>
      </x:c>
      <x:c r="G145" s="25" t="n">
        <x:v>988.6340975396431</x:v>
      </x:c>
      <x:c r="H145" s="25" t="n">
        <x:v>1050.3265153670088</x:v>
      </x:c>
      <x:c r="I145" s="25" t="n">
        <x:v>943.1795520850975</x:v>
      </x:c>
      <x:c r="J145" s="25" t="n">
        <x:v>996.7520756269414</x:v>
      </x:c>
      <x:c r="K145" s="25" t="n">
        <x:v>988.6340975396452</x:v>
      </x:c>
      <x:c r="L145" s="25" t="n">
        <x:v>996.7520756269394</x:v>
      </x:c>
      <x:c r="M145" s="25" t="n">
        <x:v>988.6340975396431</x:v>
      </x:c>
      <x:c r="N145" s="25" t="n">
        <x:v>996.7520756269405</x:v>
      </x:c>
      <x:c r="O145" s="25" t="n">
        <x:v>996.7520756269405</x:v>
      </x:c>
      <x:c r="P145" s="25" t="n">
        <x:v>996.7520756269425</x:v>
      </x:c>
      <x:c r="Q145" s="25" t="n">
        <x:v>996.7520756269425</x:v>
      </x:c>
      <x:c r="R145" s="25" t="n">
        <x:v>1035.0225437527718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8" defaultRowHeight="14"/>
  <x:cols>
    <x:col min="1" max="1" width="28" style="2" customWidth="1"/>
    <x:col min="2" max="3" width="18" customWidth="1"/>
    <x:col min="4" max="4" width="18" style="2" customWidth="1"/>
    <x:col min="5" max="5" width="18" customWidth="1"/>
    <x:col min="6" max="16384" width="18" style="2" customWidth="0"/>
  </x:cols>
  <x:sheetData>
    <x:row r="1" s="1" customFormat="1" ht="14" customHeight="1">
      <x:c r="A1" s="4" t="s">
        <x:v>0</x:v>
      </x:c>
      <x:c r="B1" s="4" t="s">
        <x:v>146</x:v>
      </x:c>
      <x:c r="C1" s="4" t="s">
        <x:v>147</x:v>
      </x:c>
      <x:c r="D1" s="4" t="s">
        <x:v>148</x:v>
      </x:c>
      <x:c r="E1" s="4" t="s">
        <x:v>149</x:v>
      </x:c>
    </x:row>
    <x:row r="2" s="1" customFormat="1" ht="14" customHeight="1">
      <x:c r="A2" s="1" t="s">
        <x:v>150</x:v>
      </x:c>
      <x:c r="B2" s="7" t="n">
        <x:f>SUM('计算明细'!F2:F25)*'修订说明'!$B$2</x:f>
        <x:v>5059.64425626941</x:v>
      </x:c>
      <x:c r="C2" s="7" t="n">
        <x:f>SUM('计算明细'!G2:G25)*'修订说明'!$B$2</x:f>
        <x:v>0</x:v>
      </x:c>
      <x:c r="D2" s="3" t="s">
        <x:v>151</x:v>
      </x:c>
      <x:c r="E2" s="7" t="n">
        <x:f>'计算明细'!I2</x:f>
        <x:v>6000</x:v>
      </x:c>
    </x:row>
    <x:row r="3" s="1" customFormat="1" ht="14" customHeight="1">
      <x:c r="A3" s="1" t="s">
        <x:v>152</x:v>
      </x:c>
      <x:c r="B3" s="7" t="n">
        <x:f>SUM('计算明细'!F26:F49)*'修订说明'!$B$2</x:f>
        <x:v>0</x:v>
      </x:c>
      <x:c r="C3" s="7" t="n">
        <x:f>SUM('计算明细'!G26:G49)*'修订说明'!$B$2</x:f>
        <x:v>7357.436146057962</x:v>
      </x:c>
      <x:c r="D3" s="3" t="s">
        <x:v>153</x:v>
      </x:c>
      <x:c r="E3" s="7" t="n">
        <x:f>'计算明细'!J145</x:f>
        <x:v>6000</x:v>
      </x:c>
    </x:row>
    <x:row r="4" s="1" customFormat="1" ht="14" customHeight="1">
      <x:c r="A4" s="1" t="s">
        <x:v>154</x:v>
      </x:c>
      <x:c r="B4" s="7" t="n">
        <x:f>SUM('计算明细'!F50:F73)*'修订说明'!$B$2</x:f>
        <x:v>5071.280471545855</x:v>
      </x:c>
      <x:c r="C4" s="7" t="n">
        <x:f>SUM('计算明细'!G50:G73)*'修订说明'!$B$2</x:f>
        <x:v>1702.9969833333364</x:v>
      </x:c>
    </x:row>
    <x:row r="5" s="1" customFormat="1" ht="14" customHeight="1">
      <x:c r="A5" s="1" t="s">
        <x:v>155</x:v>
      </x:c>
      <x:c r="B5" s="7" t="n">
        <x:f>SUM('计算明细'!F74:F97)*'修订说明'!$B$2</x:f>
        <x:v>4995.867449999851</x:v>
      </x:c>
      <x:c r="C5" s="7" t="n">
        <x:f>SUM('计算明细'!G74:G97)*'修订说明'!$B$2</x:f>
        <x:v>0</x:v>
      </x:c>
    </x:row>
    <x:row r="6" s="1" customFormat="1" ht="14" customHeight="1">
      <x:c r="A6" s="1" t="s">
        <x:v>156</x:v>
      </x:c>
      <x:c r="B6" s="7" t="n">
        <x:f>SUM('计算明细'!F98:F121)*'修订说明'!$B$2</x:f>
        <x:v>0</x:v>
      </x:c>
      <x:c r="C6" s="7" t="n">
        <x:f>SUM('计算明细'!G98:G121)*'修订说明'!$B$2</x:f>
        <x:v>6729.235006125689</x:v>
      </x:c>
    </x:row>
    <x:row r="7" s="1" customFormat="1" ht="14" customHeight="1">
      <x:c r="A7" s="1" t="s">
        <x:v>157</x:v>
      </x:c>
      <x:c r="B7" s="7" t="n">
        <x:f>SUM('计算明细'!F122:F145)*'修订说明'!$B$2</x:f>
        <x:v>5059.644256269409</x:v>
      </x:c>
      <x:c r="C7" s="7" t="n">
        <x:f>SUM('计算明细'!G122:G145)*'修订说明'!$B$2</x:f>
        <x:v>2378.124655159226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28" customWidth="1"/>
    <x:col min="2" max="12" width="18" customWidth="1"/>
  </x:cols>
  <x:sheetData>
    <x:row r="1" ht="15">
      <x:c r="A1" s="8" t="s">
        <x:v>0</x:v>
      </x:c>
      <x:c r="B1" s="8" t="s">
        <x:v>158</x:v>
      </x:c>
      <x:c r="C1" s="8" t="s">
        <x:v>159</x:v>
      </x:c>
      <x:c r="D1" s="8" t="s">
        <x:v>160</x:v>
      </x:c>
      <x:c r="E1" s="8" t="s">
        <x:v>161</x:v>
      </x:c>
      <x:c r="F1" s="8" t="s">
        <x:v>162</x:v>
      </x:c>
      <x:c r="G1" s="8" t="s">
        <x:v>163</x:v>
      </x:c>
      <x:c r="H1" s="8" t="s">
        <x:v>164</x:v>
      </x:c>
      <x:c r="I1" s="8" t="s">
        <x:v>165</x:v>
      </x:c>
      <x:c r="J1" s="8" t="s">
        <x:v>166</x:v>
      </x:c>
      <x:c r="K1" s="8" t="s">
        <x:v>167</x:v>
      </x:c>
      <x:c r="L1" s="8" t="s">
        <x:v>168</x:v>
      </x:c>
    </x:row>
    <x:row r="2">
      <x:c r="A2" t="s">
        <x:v>2</x:v>
      </x:c>
      <x:c r="B2" s="7" t="n">
        <x:v>0.4248</x:v>
      </x:c>
      <x:c r="C2" s="7" t="n">
        <x:v>3439.8466</x:v>
      </x:c>
      <x:c r="D2" s="7" t="n">
        <x:v>0</x:v>
      </x:c>
      <x:c r="E2" s="7" t="n">
        <x:v>5975.6331537616425</x:v>
      </x:c>
      <x:c r="F2" s="7" t="n">
        <x:v>2535.7865537616426</x:v>
      </x:c>
      <x:c r="G2" s="7" t="n">
        <x:v>0</x:v>
      </x:c>
      <x:c r="H2" s="7" t="n">
        <x:v>0</x:v>
      </x:c>
      <x:c r="I2" s="7" t="n">
        <x:v>6000</x:v>
      </x:c>
      <x:c r="J2" s="7" t="n">
        <x:v>6400.94305849579</x:v>
      </x:c>
      <x:c r="K2" s="7" t="n">
        <x:f t="shared" ref="K2:K33" si="0">E2*'修订说明'!$B$2</x:f>
        <x:v>995.9388589602737</x:v>
      </x:c>
      <x:c r="L2" s="7" t="n">
        <x:f t="shared" ref="L2:L33" si="1">B2*K2</x:f>
        <x:v>423.0748272863243</x:v>
      </x:c>
    </x:row>
    <x:row r="3">
      <x:c r="A3" t="s">
        <x:v>3</x:v>
      </x:c>
      <x:c r="B3" s="7" t="n">
        <x:v>0.4245</x:v>
      </x:c>
      <x:c r="C3" s="7" t="n">
        <x:v>3437.9792</x:v>
      </x:c>
      <x:c r="D3" s="7" t="n">
        <x:v>0</x:v>
      </x:c>
      <x:c r="E3" s="7" t="n">
        <x:v>5973.765753761644</x:v>
      </x:c>
      <x:c r="F3" s="7" t="n">
        <x:v>2535.7865537616613</x:v>
      </x:c>
      <x:c r="G3" s="7" t="n">
        <x:v>0</x:v>
      </x:c>
      <x:c r="H3" s="7" t="n">
        <x:v>0</x:v>
      </x:c>
      <x:c r="I3" s="7" t="n">
        <x:v>6400.94305849579</x:v>
      </x:c>
      <x:c r="J3" s="7" t="n">
        <x:v>6801.886116991581</x:v>
      </x:c>
      <x:c r="K3" s="7" t="n">
        <x:f t="shared" si="0">E3*'修订说明'!$B$2</x:f>
        <x:v>995.6276256269407</x:v>
      </x:c>
      <x:c r="L3" s="7" t="n">
        <x:f t="shared" si="1">B3*K3</x:f>
        <x:v>422.6439270786363</x:v>
      </x:c>
    </x:row>
    <x:row r="4">
      <x:c r="A4" t="s">
        <x:v>4</x:v>
      </x:c>
      <x:c r="B4" s="7" t="n">
        <x:v>0.4269</x:v>
      </x:c>
      <x:c r="C4" s="7" t="n">
        <x:v>3444.3031</x:v>
      </x:c>
      <x:c r="D4" s="7" t="n">
        <x:v>0</x:v>
      </x:c>
      <x:c r="E4" s="7" t="n">
        <x:v>5980.089653761644</x:v>
      </x:c>
      <x:c r="F4" s="7" t="n">
        <x:v>2535.786553761625</x:v>
      </x:c>
      <x:c r="G4" s="7" t="n">
        <x:v>0</x:v>
      </x:c>
      <x:c r="H4" s="7" t="n">
        <x:v>0</x:v>
      </x:c>
      <x:c r="I4" s="7" t="n">
        <x:v>6801.886116991581</x:v>
      </x:c>
      <x:c r="J4" s="7" t="n">
        <x:v>7202.829175487371</x:v>
      </x:c>
      <x:c r="K4" s="7" t="n">
        <x:f t="shared" si="0">E4*'修订说明'!$B$2</x:f>
        <x:v>996.6816089602739</x:v>
      </x:c>
      <x:c r="L4" s="7" t="n">
        <x:f t="shared" si="1">B4*K4</x:f>
        <x:v>425.48337886514093</x:v>
      </x:c>
    </x:row>
    <x:row r="5">
      <x:c r="A5" t="s">
        <x:v>5</x:v>
      </x:c>
      <x:c r="B5" s="7" t="n">
        <x:v>0.4272</x:v>
      </x:c>
      <x:c r="C5" s="7" t="n">
        <x:v>3454.4437</x:v>
      </x:c>
      <x:c r="D5" s="7" t="n">
        <x:v>0</x:v>
      </x:c>
      <x:c r="E5" s="7" t="n">
        <x:v>5990.230253761643</x:v>
      </x:c>
      <x:c r="F5" s="7" t="n">
        <x:v>2535.786553761625</x:v>
      </x:c>
      <x:c r="G5" s="7" t="n">
        <x:v>0</x:v>
      </x:c>
      <x:c r="H5" s="7" t="n">
        <x:v>0</x:v>
      </x:c>
      <x:c r="I5" s="7" t="n">
        <x:v>7202.829175487371</x:v>
      </x:c>
      <x:c r="J5" s="7" t="n">
        <x:v>7603.772233983162</x:v>
      </x:c>
      <x:c r="K5" s="7" t="n">
        <x:f t="shared" si="0">E5*'修订说明'!$B$2</x:f>
        <x:v>998.3717089602738</x:v>
      </x:c>
      <x:c r="L5" s="7" t="n">
        <x:f t="shared" si="1">B5*K5</x:f>
        <x:v>426.504394067829</x:v>
      </x:c>
    </x:row>
    <x:row r="6">
      <x:c r="A6" t="s">
        <x:v>6</x:v>
      </x:c>
      <x:c r="B6" s="7" t="n">
        <x:v>0.4271</x:v>
      </x:c>
      <x:c r="C6" s="7" t="n">
        <x:v>3458.8273</x:v>
      </x:c>
      <x:c r="D6" s="7" t="n">
        <x:v>0</x:v>
      </x:c>
      <x:c r="E6" s="7" t="n">
        <x:v>5994.613853761643</x:v>
      </x:c>
      <x:c r="F6" s="7" t="n">
        <x:v>2535.7865537616976</x:v>
      </x:c>
      <x:c r="G6" s="7" t="n">
        <x:v>0</x:v>
      </x:c>
      <x:c r="H6" s="7" t="n">
        <x:v>0</x:v>
      </x:c>
      <x:c r="I6" s="7" t="n">
        <x:v>7603.772233983162</x:v>
      </x:c>
      <x:c r="J6" s="7" t="n">
        <x:v>8004.715292478952</x:v>
      </x:c>
      <x:c r="K6" s="7" t="n">
        <x:f t="shared" si="0">E6*'修订说明'!$B$2</x:f>
        <x:v>999.1023089602738</x:v>
      </x:c>
      <x:c r="L6" s="7" t="n">
        <x:f t="shared" si="1">B6*K6</x:f>
        <x:v>426.71659615693295</x:v>
      </x:c>
    </x:row>
    <x:row r="7">
      <x:c r="A7" t="s">
        <x:v>7</x:v>
      </x:c>
      <x:c r="B7" s="7" t="n">
        <x:v>0.4285</x:v>
      </x:c>
      <x:c r="C7" s="7" t="n">
        <x:v>3459.8401</x:v>
      </x:c>
      <x:c r="D7" s="7" t="n">
        <x:v>0</x:v>
      </x:c>
      <x:c r="E7" s="7" t="n">
        <x:v>5995.626653761643</x:v>
      </x:c>
      <x:c r="F7" s="7" t="n">
        <x:v>2535.7865537616203</x:v>
      </x:c>
      <x:c r="G7" s="7" t="n">
        <x:v>0</x:v>
      </x:c>
      <x:c r="H7" s="7" t="n">
        <x:v>0</x:v>
      </x:c>
      <x:c r="I7" s="7" t="n">
        <x:v>8004.715292478952</x:v>
      </x:c>
      <x:c r="J7" s="7" t="n">
        <x:v>8405.658350974742</x:v>
      </x:c>
      <x:c r="K7" s="7" t="n">
        <x:f t="shared" si="0">E7*'修订说明'!$B$2</x:f>
        <x:v>999.2711089602738</x:v>
      </x:c>
      <x:c r="L7" s="7" t="n">
        <x:f t="shared" si="1">B7*K7</x:f>
        <x:v>428.1876701894773</x:v>
      </x:c>
    </x:row>
    <x:row r="8">
      <x:c r="A8" t="s">
        <x:v>8</x:v>
      </x:c>
      <x:c r="B8" s="7" t="n">
        <x:v>0.4311</x:v>
      </x:c>
      <x:c r="C8" s="7" t="n">
        <x:v>3467.1582</x:v>
      </x:c>
      <x:c r="D8" s="7" t="n">
        <x:v>0</x:v>
      </x:c>
      <x:c r="E8" s="7" t="n">
        <x:v>6002.944753761644</x:v>
      </x:c>
      <x:c r="F8" s="7" t="n">
        <x:v>2535.786553761561</x:v>
      </x:c>
      <x:c r="G8" s="7" t="n">
        <x:v>0</x:v>
      </x:c>
      <x:c r="H8" s="7" t="n">
        <x:v>0</x:v>
      </x:c>
      <x:c r="I8" s="7" t="n">
        <x:v>8405.658350974742</x:v>
      </x:c>
      <x:c r="J8" s="7" t="n">
        <x:v>8806.601409470533</x:v>
      </x:c>
      <x:c r="K8" s="7" t="n">
        <x:f t="shared" si="0">E8*'修订说明'!$B$2</x:f>
        <x:v>1000.4907922936073</x:v>
      </x:c>
      <x:c r="L8" s="7" t="n">
        <x:f t="shared" si="1">B8*K8</x:f>
        <x:v>431.3115805577741</x:v>
      </x:c>
    </x:row>
    <x:row r="9">
      <x:c r="A9" t="s">
        <x:v>9</x:v>
      </x:c>
      <x:c r="B9" s="7" t="n">
        <x:v>0.4302</x:v>
      </x:c>
      <x:c r="C9" s="7" t="n">
        <x:v>3467.9632</x:v>
      </x:c>
      <x:c r="D9" s="7" t="n">
        <x:v>0</x:v>
      </x:c>
      <x:c r="E9" s="7" t="n">
        <x:v>6003.749753761644</x:v>
      </x:c>
      <x:c r="F9" s="7" t="n">
        <x:v>2535.7865537616976</x:v>
      </x:c>
      <x:c r="G9" s="7" t="n">
        <x:v>0</x:v>
      </x:c>
      <x:c r="H9" s="7" t="n">
        <x:v>0</x:v>
      </x:c>
      <x:c r="I9" s="7" t="n">
        <x:v>8806.601409470533</x:v>
      </x:c>
      <x:c r="J9" s="7" t="n">
        <x:v>9207.544467966323</x:v>
      </x:c>
      <x:c r="K9" s="7" t="n">
        <x:f t="shared" si="0">E9*'修订说明'!$B$2</x:f>
        <x:v>1000.624958960274</x:v>
      </x:c>
      <x:c r="L9" s="7" t="n">
        <x:f t="shared" si="1">B9*K9</x:f>
        <x:v>430.4688573447099</x:v>
      </x:c>
    </x:row>
    <x:row r="10">
      <x:c r="A10" t="s">
        <x:v>10</x:v>
      </x:c>
      <x:c r="B10" s="7" t="n">
        <x:v>0.4279</x:v>
      </x:c>
      <x:c r="C10" s="7" t="n">
        <x:v>3466.9683</x:v>
      </x:c>
      <x:c r="D10" s="7" t="n">
        <x:v>0</x:v>
      </x:c>
      <x:c r="E10" s="7" t="n">
        <x:v>6002.754853761646</x:v>
      </x:c>
      <x:c r="F10" s="7" t="n">
        <x:v>2535.7865537616476</x:v>
      </x:c>
      <x:c r="G10" s="7" t="n">
        <x:v>0</x:v>
      </x:c>
      <x:c r="H10" s="7" t="n">
        <x:v>0</x:v>
      </x:c>
      <x:c r="I10" s="7" t="n">
        <x:v>9207.544467966323</x:v>
      </x:c>
      <x:c r="J10" s="7" t="n">
        <x:v>9608.487526462113</x:v>
      </x:c>
      <x:c r="K10" s="7" t="n">
        <x:f t="shared" si="0">E10*'修订说明'!$B$2</x:f>
        <x:v>1000.4591422936076</x:v>
      </x:c>
      <x:c r="L10" s="7" t="n">
        <x:f t="shared" si="1">B10*K10</x:f>
        <x:v>428.09646698743467</x:v>
      </x:c>
    </x:row>
    <x:row r="11">
      <x:c r="A11" t="s">
        <x:v>11</x:v>
      </x:c>
      <x:c r="B11" s="7" t="n">
        <x:v>0.4312</x:v>
      </x:c>
      <x:c r="C11" s="7" t="n">
        <x:v>3482.4927</x:v>
      </x:c>
      <x:c r="D11" s="7" t="n">
        <x:v>0</x:v>
      </x:c>
      <x:c r="E11" s="7" t="n">
        <x:v>5989.650010752329</x:v>
      </x:c>
      <x:c r="F11" s="7" t="n">
        <x:v>2507.1573107522977</x:v>
      </x:c>
      <x:c r="G11" s="7" t="n">
        <x:v>0</x:v>
      </x:c>
      <x:c r="H11" s="7" t="n">
        <x:v>0</x:v>
      </x:c>
      <x:c r="I11" s="7" t="n">
        <x:v>9608.487526462113</x:v>
      </x:c>
      <x:c r="J11" s="7" t="n">
        <x:v>10004.90390417811</x:v>
      </x:c>
      <x:c r="K11" s="7" t="n">
        <x:f t="shared" si="0">E11*'修订说明'!$B$2</x:f>
        <x:v>998.2750017920548</x:v>
      </x:c>
      <x:c r="L11" s="7" t="n">
        <x:f t="shared" si="1">B11*K11</x:f>
        <x:v>430.45618077273406</x:v>
      </x:c>
    </x:row>
    <x:row r="12">
      <x:c r="A12" t="s">
        <x:v>12</x:v>
      </x:c>
      <x:c r="B12" s="7" t="n">
        <x:v>0.4333</x:v>
      </x:c>
      <x:c r="C12" s="7" t="n">
        <x:v>3495.0841</x:v>
      </x:c>
      <x:c r="D12" s="7" t="n">
        <x:v>0</x:v>
      </x:c>
      <x:c r="E12" s="7" t="n">
        <x:v>5002.241410752329</x:v>
      </x:c>
      <x:c r="F12" s="7" t="n">
        <x:v>1507.1573107523714</x:v>
      </x:c>
      <x:c r="G12" s="7" t="n">
        <x:v>0</x:v>
      </x:c>
      <x:c r="H12" s="7" t="n">
        <x:v>0</x:v>
      </x:c>
      <x:c r="I12" s="7" t="n">
        <x:v>10004.90390417811</x:v>
      </x:c>
      <x:c r="J12" s="7" t="n">
        <x:v>10243.206398885686</x:v>
      </x:c>
      <x:c r="K12" s="7" t="n">
        <x:f t="shared" si="0">E12*'修订说明'!$B$2</x:f>
        <x:v>833.7069017920549</x:v>
      </x:c>
      <x:c r="L12" s="7" t="n">
        <x:f t="shared" si="1">B12*K12</x:f>
        <x:v>361.24520054649736</x:v>
      </x:c>
    </x:row>
    <x:row r="13">
      <x:c r="A13" t="s">
        <x:v>13</x:v>
      </x:c>
      <x:c r="B13" s="7" t="n">
        <x:v>0.4311</x:v>
      </x:c>
      <x:c r="C13" s="7" t="n">
        <x:v>3498.4443</x:v>
      </x:c>
      <x:c r="D13" s="7" t="n">
        <x:v>0</x:v>
      </x:c>
      <x:c r="E13" s="7" t="n">
        <x:v>5005.601610752328</x:v>
      </x:c>
      <x:c r="F13" s="7" t="n">
        <x:v>1507.1573107523623</x:v>
      </x:c>
      <x:c r="G13" s="7" t="n">
        <x:v>0</x:v>
      </x:c>
      <x:c r="H13" s="7" t="n">
        <x:v>0</x:v>
      </x:c>
      <x:c r="I13" s="7" t="n">
        <x:v>10243.206398885686</x:v>
      </x:c>
      <x:c r="J13" s="7" t="n">
        <x:v>10481.508893593264</x:v>
      </x:c>
      <x:c r="K13" s="7" t="n">
        <x:f t="shared" si="0">E13*'修订说明'!$B$2</x:f>
        <x:v>834.266935125388</x:v>
      </x:c>
      <x:c r="L13" s="7" t="n">
        <x:f t="shared" si="1">B13*K13</x:f>
        <x:v>359.65247573255476</x:v>
      </x:c>
    </x:row>
    <x:row r="14">
      <x:c r="A14" t="s">
        <x:v>14</x:v>
      </x:c>
      <x:c r="B14" s="7" t="n">
        <x:v>0.4293</x:v>
      </x:c>
      <x:c r="C14" s="7" t="n">
        <x:v>3505.2295</x:v>
      </x:c>
      <x:c r="D14" s="7" t="n">
        <x:v>0</x:v>
      </x:c>
      <x:c r="E14" s="7" t="n">
        <x:v>5012.3868107523285</x:v>
      </x:c>
      <x:c r="F14" s="7" t="n">
        <x:v>1507.157310752294</x:v>
      </x:c>
      <x:c r="G14" s="7" t="n">
        <x:v>0</x:v>
      </x:c>
      <x:c r="H14" s="7" t="n">
        <x:v>0</x:v>
      </x:c>
      <x:c r="I14" s="7" t="n">
        <x:v>10481.508893593264</x:v>
      </x:c>
      <x:c r="J14" s="7" t="n">
        <x:v>10719.811388300841</x:v>
      </x:c>
      <x:c r="K14" s="7" t="n">
        <x:f t="shared" si="0">E14*'修订说明'!$B$2</x:f>
        <x:v>835.3978017920547</x:v>
      </x:c>
      <x:c r="L14" s="7" t="n">
        <x:f t="shared" si="1">B14*K14</x:f>
        <x:v>358.6362763093291</x:v>
      </x:c>
    </x:row>
    <x:row r="15">
      <x:c r="A15" t="s">
        <x:v>15</x:v>
      </x:c>
      <x:c r="B15" s="7" t="n">
        <x:v>0.4324</x:v>
      </x:c>
      <x:c r="C15" s="7" t="n">
        <x:v>3512.6387</x:v>
      </x:c>
      <x:c r="D15" s="7" t="n">
        <x:v>0</x:v>
      </x:c>
      <x:c r="E15" s="7" t="n">
        <x:v>4019.796010752328</x:v>
      </x:c>
      <x:c r="F15" s="7" t="n">
        <x:v>507.1573107523632</x:v>
      </x:c>
      <x:c r="G15" s="7" t="n">
        <x:v>0</x:v>
      </x:c>
      <x:c r="H15" s="7" t="n">
        <x:v>0</x:v>
      </x:c>
      <x:c r="I15" s="7" t="n">
        <x:v>10719.811388300841</x:v>
      </x:c>
      <x:c r="J15" s="7" t="n">
        <x:v>10799.999999999998</x:v>
      </x:c>
      <x:c r="K15" s="7" t="n">
        <x:f t="shared" si="0">E15*'修订说明'!$B$2</x:f>
        <x:v>669.9660017920546</x:v>
      </x:c>
      <x:c r="L15" s="7" t="n">
        <x:f t="shared" si="1">B15*K15</x:f>
        <x:v>289.69329917488443</x:v>
      </x:c>
    </x:row>
    <x:row r="16">
      <x:c r="A16" t="s">
        <x:v>16</x:v>
      </x:c>
      <x:c r="B16" s="7" t="n">
        <x:v>0.4367</x:v>
      </x:c>
      <x:c r="C16" s="7" t="n">
        <x:v>3516.8685</x:v>
      </x:c>
      <x:c r="D16" s="7" t="n">
        <x:v>0</x:v>
      </x:c>
      <x:c r="E16" s="7" t="n">
        <x:v>3516.8684999999846</x:v>
      </x:c>
      <x:c r="F16" s="7" t="n">
        <x:v>0</x:v>
      </x:c>
      <x:c r="G16" s="7" t="n">
        <x:v>0</x:v>
      </x:c>
      <x:c r="H16" s="7" t="n">
        <x:v>0</x:v>
      </x:c>
      <x:c r="I16" s="7" t="n">
        <x:v>10799.999999999998</x:v>
      </x:c>
      <x:c r="J16" s="7" t="n">
        <x:v>10800</x:v>
      </x:c>
      <x:c r="K16" s="7" t="n">
        <x:f t="shared" si="0">E16*'修订说明'!$B$2</x:f>
        <x:v>586.1447499999974</x:v>
      </x:c>
      <x:c r="L16" s="7" t="n">
        <x:f t="shared" si="1">B16*K16</x:f>
        <x:v>255.96941232499887</x:v>
      </x:c>
    </x:row>
    <x:row r="17">
      <x:c r="A17" t="s">
        <x:v>17</x:v>
      </x:c>
      <x:c r="B17" s="7" t="n">
        <x:v>0.4348</x:v>
      </x:c>
      <x:c r="C17" s="7" t="n">
        <x:v>3517.9246</x:v>
      </x:c>
      <x:c r="D17" s="7" t="n">
        <x:v>0</x:v>
      </x:c>
      <x:c r="E17" s="7" t="n">
        <x:v>3517.9246000000035</x:v>
      </x:c>
      <x:c r="F17" s="7" t="n">
        <x:v>0</x:v>
      </x:c>
      <x:c r="G17" s="7" t="n">
        <x:v>0</x:v>
      </x:c>
      <x:c r="H17" s="7" t="n">
        <x:v>0</x:v>
      </x:c>
      <x:c r="I17" s="7" t="n">
        <x:v>10800</x:v>
      </x:c>
      <x:c r="J17" s="7" t="n">
        <x:v>10800</x:v>
      </x:c>
      <x:c r="K17" s="7" t="n">
        <x:f t="shared" si="0">E17*'修订说明'!$B$2</x:f>
        <x:v>586.3207666666672</x:v>
      </x:c>
      <x:c r="L17" s="7" t="n">
        <x:f t="shared" si="1">B17*K17</x:f>
        <x:v>254.93226934666689</x:v>
      </x:c>
    </x:row>
    <x:row r="18">
      <x:c r="A18" t="s">
        <x:v>18</x:v>
      </x:c>
      <x:c r="B18" s="7" t="n">
        <x:v>0.4335</x:v>
      </x:c>
      <x:c r="C18" s="7" t="n">
        <x:v>3518.5518</x:v>
      </x:c>
      <x:c r="D18" s="7" t="n">
        <x:v>0</x:v>
      </x:c>
      <x:c r="E18" s="7" t="n">
        <x:v>3518.5517999999997</x:v>
      </x:c>
      <x:c r="F18" s="7" t="n">
        <x:v>0</x:v>
      </x:c>
      <x:c r="G18" s="7" t="n">
        <x:v>0</x:v>
      </x:c>
      <x:c r="H18" s="7" t="n">
        <x:v>0</x:v>
      </x:c>
      <x:c r="I18" s="7" t="n">
        <x:v>10800</x:v>
      </x:c>
      <x:c r="J18" s="7" t="n">
        <x:v>10800</x:v>
      </x:c>
      <x:c r="K18" s="7" t="n">
        <x:f t="shared" si="0">E18*'修订说明'!$B$2</x:f>
        <x:v>586.4252999999999</x:v>
      </x:c>
      <x:c r="L18" s="7" t="n">
        <x:f t="shared" si="1">B18*K18</x:f>
        <x:v>254.21536754999994</x:v>
      </x:c>
    </x:row>
    <x:row r="19">
      <x:c r="A19" t="s">
        <x:v>19</x:v>
      </x:c>
      <x:c r="B19" s="7" t="n">
        <x:v>0.4357</x:v>
      </x:c>
      <x:c r="C19" s="7" t="n">
        <x:v>3521.0976</x:v>
      </x:c>
      <x:c r="D19" s="7" t="n">
        <x:v>0</x:v>
      </x:c>
      <x:c r="E19" s="7" t="n">
        <x:v>3521.0976000000037</x:v>
      </x:c>
      <x:c r="F19" s="7" t="n">
        <x:v>0</x:v>
      </x:c>
      <x:c r="G19" s="7" t="n">
        <x:v>0</x:v>
      </x:c>
      <x:c r="H19" s="7" t="n">
        <x:v>0</x:v>
      </x:c>
      <x:c r="I19" s="7" t="n">
        <x:v>10800</x:v>
      </x:c>
      <x:c r="J19" s="7" t="n">
        <x:v>10800</x:v>
      </x:c>
      <x:c r="K19" s="7" t="n">
        <x:f t="shared" si="0">E19*'修订说明'!$B$2</x:f>
        <x:v>586.8496000000006</x:v>
      </x:c>
      <x:c r="L19" s="7" t="n">
        <x:f t="shared" si="1">B19*K19</x:f>
        <x:v>255.69037072000023</x:v>
      </x:c>
    </x:row>
    <x:row r="20">
      <x:c r="A20" t="s">
        <x:v>20</x:v>
      </x:c>
      <x:c r="B20" s="7" t="n">
        <x:v>0.4374</x:v>
      </x:c>
      <x:c r="C20" s="7" t="n">
        <x:v>3526.9261</x:v>
      </x:c>
      <x:c r="D20" s="7" t="n">
        <x:v>0</x:v>
      </x:c>
      <x:c r="E20" s="7" t="n">
        <x:v>3526.9261000000033</x:v>
      </x:c>
      <x:c r="F20" s="7" t="n">
        <x:v>0</x:v>
      </x:c>
      <x:c r="G20" s="7" t="n">
        <x:v>0</x:v>
      </x:c>
      <x:c r="H20" s="7" t="n">
        <x:v>0</x:v>
      </x:c>
      <x:c r="I20" s="7" t="n">
        <x:v>10800</x:v>
      </x:c>
      <x:c r="J20" s="7" t="n">
        <x:v>10800</x:v>
      </x:c>
      <x:c r="K20" s="7" t="n">
        <x:f t="shared" si="0">E20*'修订说明'!$B$2</x:f>
        <x:v>587.8210166666672</x:v>
      </x:c>
      <x:c r="L20" s="7" t="n">
        <x:f t="shared" si="1">B20*K20</x:f>
        <x:v>257.11291269000026</x:v>
      </x:c>
    </x:row>
    <x:row r="21">
      <x:c r="A21" t="s">
        <x:v>21</x:v>
      </x:c>
      <x:c r="B21" s="7" t="n">
        <x:v>0.4371</x:v>
      </x:c>
      <x:c r="C21" s="7" t="n">
        <x:v>3537.2854</x:v>
      </x:c>
      <x:c r="D21" s="7" t="n">
        <x:v>0</x:v>
      </x:c>
      <x:c r="E21" s="7" t="n">
        <x:v>3537.2854000000034</x:v>
      </x:c>
      <x:c r="F21" s="7" t="n">
        <x:v>0</x:v>
      </x:c>
      <x:c r="G21" s="7" t="n">
        <x:v>0</x:v>
      </x:c>
      <x:c r="H21" s="7" t="n">
        <x:v>0</x:v>
      </x:c>
      <x:c r="I21" s="7" t="n">
        <x:v>10800</x:v>
      </x:c>
      <x:c r="J21" s="7" t="n">
        <x:v>10800</x:v>
      </x:c>
      <x:c r="K21" s="7" t="n">
        <x:f t="shared" si="0">E21*'修订说明'!$B$2</x:f>
        <x:v>589.5475666666672</x:v>
      </x:c>
      <x:c r="L21" s="7" t="n">
        <x:f t="shared" si="1">B21*K21</x:f>
        <x:v>257.69124139000024</x:v>
      </x:c>
    </x:row>
    <x:row r="22">
      <x:c r="A22" t="s">
        <x:v>22</x:v>
      </x:c>
      <x:c r="B22" s="7" t="n">
        <x:v>0.4356</x:v>
      </x:c>
      <x:c r="C22" s="7" t="n">
        <x:v>3544.8808</x:v>
      </x:c>
      <x:c r="D22" s="7" t="n">
        <x:v>0</x:v>
      </x:c>
      <x:c r="E22" s="7" t="n">
        <x:v>3544.880799999999</x:v>
      </x:c>
      <x:c r="F22" s="7" t="n">
        <x:v>0</x:v>
      </x:c>
      <x:c r="G22" s="7" t="n">
        <x:v>0</x:v>
      </x:c>
      <x:c r="H22" s="7" t="n">
        <x:v>0</x:v>
      </x:c>
      <x:c r="I22" s="7" t="n">
        <x:v>10800</x:v>
      </x:c>
      <x:c r="J22" s="7" t="n">
        <x:v>10800</x:v>
      </x:c>
      <x:c r="K22" s="7" t="n">
        <x:f t="shared" si="0">E22*'修订说明'!$B$2</x:f>
        <x:v>590.8134666666665</x:v>
      </x:c>
      <x:c r="L22" s="7" t="n">
        <x:f t="shared" si="1">B22*K22</x:f>
        <x:v>257.35834607999993</x:v>
      </x:c>
    </x:row>
    <x:row r="23">
      <x:c r="A23" t="s">
        <x:v>23</x:v>
      </x:c>
      <x:c r="B23" s="7" t="n">
        <x:v>0.4353</x:v>
      </x:c>
      <x:c r="C23" s="7" t="n">
        <x:v>3541.2787</x:v>
      </x:c>
      <x:c r="D23" s="7" t="n">
        <x:v>0</x:v>
      </x:c>
      <x:c r="E23" s="7" t="n">
        <x:v>3541.2787</x:v>
      </x:c>
      <x:c r="F23" s="7" t="n">
        <x:v>0</x:v>
      </x:c>
      <x:c r="G23" s="7" t="n">
        <x:v>0</x:v>
      </x:c>
      <x:c r="H23" s="7" t="n">
        <x:v>0</x:v>
      </x:c>
      <x:c r="I23" s="7" t="n">
        <x:v>10800</x:v>
      </x:c>
      <x:c r="J23" s="7" t="n">
        <x:v>10800</x:v>
      </x:c>
      <x:c r="K23" s="7" t="n">
        <x:f t="shared" si="0">E23*'修订说明'!$B$2</x:f>
        <x:v>590.2131166666666</x:v>
      </x:c>
      <x:c r="L23" s="7" t="n">
        <x:f t="shared" si="1">B23*K23</x:f>
        <x:v>256.91976968499995</x:v>
      </x:c>
    </x:row>
    <x:row r="24">
      <x:c r="A24" t="s">
        <x:v>24</x:v>
      </x:c>
      <x:c r="B24" s="7" t="n">
        <x:v>0.436</x:v>
      </x:c>
      <x:c r="C24" s="7" t="n">
        <x:v>3546.3976</x:v>
      </x:c>
      <x:c r="D24" s="7" t="n">
        <x:v>0</x:v>
      </x:c>
      <x:c r="E24" s="7" t="n">
        <x:v>3546.3976000000002</x:v>
      </x:c>
      <x:c r="F24" s="7" t="n">
        <x:v>0</x:v>
      </x:c>
      <x:c r="G24" s="7" t="n">
        <x:v>0</x:v>
      </x:c>
      <x:c r="H24" s="7" t="n">
        <x:v>0</x:v>
      </x:c>
      <x:c r="I24" s="7" t="n">
        <x:v>10800</x:v>
      </x:c>
      <x:c r="J24" s="7" t="n">
        <x:v>10800</x:v>
      </x:c>
      <x:c r="K24" s="7" t="n">
        <x:f t="shared" si="0">E24*'修订说明'!$B$2</x:f>
        <x:v>591.0662666666667</x:v>
      </x:c>
      <x:c r="L24" s="7" t="n">
        <x:f t="shared" si="1">B24*K24</x:f>
        <x:v>257.70489226666666</x:v>
      </x:c>
    </x:row>
    <x:row r="25">
      <x:c r="A25" t="s">
        <x:v>25</x:v>
      </x:c>
      <x:c r="B25" s="7" t="n">
        <x:v>0.4378</x:v>
      </x:c>
      <x:c r="C25" s="7" t="n">
        <x:v>3560.207</x:v>
      </x:c>
      <x:c r="D25" s="7" t="n">
        <x:v>0</x:v>
      </x:c>
      <x:c r="E25" s="7" t="n">
        <x:v>3560.207</x:v>
      </x:c>
      <x:c r="F25" s="7" t="n">
        <x:v>0</x:v>
      </x:c>
      <x:c r="G25" s="7" t="n">
        <x:v>0</x:v>
      </x:c>
      <x:c r="H25" s="7" t="n">
        <x:v>0</x:v>
      </x:c>
      <x:c r="I25" s="7" t="n">
        <x:v>10800</x:v>
      </x:c>
      <x:c r="J25" s="7" t="n">
        <x:v>10800</x:v>
      </x:c>
      <x:c r="K25" s="7" t="n">
        <x:f t="shared" si="0">E25*'修订说明'!$B$2</x:f>
        <x:v>593.3678333333332</x:v>
      </x:c>
      <x:c r="L25" s="7" t="n">
        <x:f t="shared" si="1">B25*K25</x:f>
        <x:v>259.7764374333333</x:v>
      </x:c>
    </x:row>
    <x:row r="26">
      <x:c r="A26" t="s">
        <x:v>26</x:v>
      </x:c>
      <x:c r="B26" s="7" t="n">
        <x:v>0.4401</x:v>
      </x:c>
      <x:c r="C26" s="7" t="n">
        <x:v>3561.9581</x:v>
      </x:c>
      <x:c r="D26" s="7" t="n">
        <x:v>0</x:v>
      </x:c>
      <x:c r="E26" s="7" t="n">
        <x:v>3561.9581000000035</x:v>
      </x:c>
      <x:c r="F26" s="7" t="n">
        <x:v>0</x:v>
      </x:c>
      <x:c r="G26" s="7" t="n">
        <x:v>0</x:v>
      </x:c>
      <x:c r="H26" s="7" t="n">
        <x:v>0</x:v>
      </x:c>
      <x:c r="I26" s="7" t="n">
        <x:v>10800</x:v>
      </x:c>
      <x:c r="J26" s="7" t="n">
        <x:v>10800</x:v>
      </x:c>
      <x:c r="K26" s="7" t="n">
        <x:f t="shared" si="0">E26*'修订说明'!$B$2</x:f>
        <x:v>593.6596833333339</x:v>
      </x:c>
      <x:c r="L26" s="7" t="n">
        <x:f t="shared" si="1">B26*K26</x:f>
        <x:v>261.26962663500024</x:v>
      </x:c>
    </x:row>
    <x:row r="27">
      <x:c r="A27" t="s">
        <x:v>27</x:v>
      </x:c>
      <x:c r="B27" s="7" t="n">
        <x:v>0.4389</x:v>
      </x:c>
      <x:c r="C27" s="7" t="n">
        <x:v>3556.7183</x:v>
      </x:c>
      <x:c r="D27" s="7" t="n">
        <x:v>0</x:v>
      </x:c>
      <x:c r="E27" s="7" t="n">
        <x:v>3556.718300000003</x:v>
      </x:c>
      <x:c r="F27" s="7" t="n">
        <x:v>0</x:v>
      </x:c>
      <x:c r="G27" s="7" t="n">
        <x:v>0</x:v>
      </x:c>
      <x:c r="H27" s="7" t="n">
        <x:v>0</x:v>
      </x:c>
      <x:c r="I27" s="7" t="n">
        <x:v>10800</x:v>
      </x:c>
      <x:c r="J27" s="7" t="n">
        <x:v>10800</x:v>
      </x:c>
      <x:c r="K27" s="7" t="n">
        <x:f t="shared" si="0">E27*'修订说明'!$B$2</x:f>
        <x:v>592.7863833333338</x:v>
      </x:c>
      <x:c r="L27" s="7" t="n">
        <x:f t="shared" si="1">B27*K27</x:f>
        <x:v>260.1739436450002</x:v>
      </x:c>
    </x:row>
    <x:row r="28">
      <x:c r="A28" t="s">
        <x:v>28</x:v>
      </x:c>
      <x:c r="B28" s="7" t="n">
        <x:v>0.4364</x:v>
      </x:c>
      <x:c r="C28" s="7" t="n">
        <x:v>3560.0272</x:v>
      </x:c>
      <x:c r="D28" s="7" t="n">
        <x:v>0</x:v>
      </x:c>
      <x:c r="E28" s="7" t="n">
        <x:v>3560.027200000003</x:v>
      </x:c>
      <x:c r="F28" s="7" t="n">
        <x:v>0</x:v>
      </x:c>
      <x:c r="G28" s="7" t="n">
        <x:v>0</x:v>
      </x:c>
      <x:c r="H28" s="7" t="n">
        <x:v>0</x:v>
      </x:c>
      <x:c r="I28" s="7" t="n">
        <x:v>10800</x:v>
      </x:c>
      <x:c r="J28" s="7" t="n">
        <x:v>10800.000000000002</x:v>
      </x:c>
      <x:c r="K28" s="7" t="n">
        <x:f t="shared" si="0">E28*'修订说明'!$B$2</x:f>
        <x:v>593.3378666666672</x:v>
      </x:c>
      <x:c r="L28" s="7" t="n">
        <x:f t="shared" si="1">B28*K28</x:f>
        <x:v>258.93264501333357</x:v>
      </x:c>
    </x:row>
    <x:row r="29">
      <x:c r="A29" t="s">
        <x:v>29</x:v>
      </x:c>
      <x:c r="B29" s="7" t="n">
        <x:v>0.4393</x:v>
      </x:c>
      <x:c r="C29" s="7" t="n">
        <x:v>3580.654</x:v>
      </x:c>
      <x:c r="D29" s="7" t="n">
        <x:v>0.5994</x:v>
      </x:c>
      <x:c r="E29" s="7" t="n">
        <x:v>3580.054600000003</x:v>
      </x:c>
      <x:c r="F29" s="7" t="n">
        <x:v>0</x:v>
      </x:c>
      <x:c r="G29" s="7" t="n">
        <x:v>0</x:v>
      </x:c>
      <x:c r="H29" s="7" t="n">
        <x:v>0</x:v>
      </x:c>
      <x:c r="I29" s="7" t="n">
        <x:v>10800.000000000002</x:v>
      </x:c>
      <x:c r="J29" s="7" t="n">
        <x:v>10800.000000000002</x:v>
      </x:c>
      <x:c r="K29" s="7" t="n">
        <x:f t="shared" si="0">E29*'修订说明'!$B$2</x:f>
        <x:v>596.6757666666672</x:v>
      </x:c>
      <x:c r="L29" s="7" t="n">
        <x:f t="shared" si="1">B29*K29</x:f>
        <x:v>262.1196642966669</x:v>
      </x:c>
    </x:row>
    <x:row r="30">
      <x:c r="A30" t="s">
        <x:v>30</x:v>
      </x:c>
      <x:c r="B30" s="7" t="n">
        <x:v>0.4422</x:v>
      </x:c>
      <x:c r="C30" s="7" t="n">
        <x:v>3586.916</x:v>
      </x:c>
      <x:c r="D30" s="7" t="n">
        <x:v>0.2345</x:v>
      </x:c>
      <x:c r="E30" s="7" t="n">
        <x:v>3586.6815</x:v>
      </x:c>
      <x:c r="F30" s="7" t="n">
        <x:v>0</x:v>
      </x:c>
      <x:c r="G30" s="7" t="n">
        <x:v>0</x:v>
      </x:c>
      <x:c r="H30" s="7" t="n">
        <x:v>0</x:v>
      </x:c>
      <x:c r="I30" s="7" t="n">
        <x:v>10800.000000000002</x:v>
      </x:c>
      <x:c r="J30" s="7" t="n">
        <x:v>10800.000000000002</x:v>
      </x:c>
      <x:c r="K30" s="7" t="n">
        <x:f t="shared" si="0">E30*'修订说明'!$B$2</x:f>
        <x:v>597.78025</x:v>
      </x:c>
      <x:c r="L30" s="7" t="n">
        <x:f t="shared" si="1">B30*K30</x:f>
        <x:v>264.33842655</x:v>
      </x:c>
    </x:row>
    <x:row r="31">
      <x:c r="A31" t="s">
        <x:v>31</x:v>
      </x:c>
      <x:c r="B31" s="7" t="n">
        <x:v>0.4395</x:v>
      </x:c>
      <x:c r="C31" s="7" t="n">
        <x:v>3571.2635</x:v>
      </x:c>
      <x:c r="D31" s="7" t="n">
        <x:v>0.2885</x:v>
      </x:c>
      <x:c r="E31" s="7" t="n">
        <x:v>3570.9749999999985</x:v>
      </x:c>
      <x:c r="F31" s="7" t="n">
        <x:v>0</x:v>
      </x:c>
      <x:c r="G31" s="7" t="n">
        <x:v>0</x:v>
      </x:c>
      <x:c r="H31" s="7" t="n">
        <x:v>0</x:v>
      </x:c>
      <x:c r="I31" s="7" t="n">
        <x:v>10800.000000000002</x:v>
      </x:c>
      <x:c r="J31" s="7" t="n">
        <x:v>10800.000000000002</x:v>
      </x:c>
      <x:c r="K31" s="7" t="n">
        <x:f t="shared" si="0">E31*'修订说明'!$B$2</x:f>
        <x:v>595.1624999999997</x:v>
      </x:c>
      <x:c r="L31" s="7" t="n">
        <x:f t="shared" si="1">B31*K31</x:f>
        <x:v>261.57391874999985</x:v>
      </x:c>
    </x:row>
    <x:row r="32">
      <x:c r="A32" t="s">
        <x:v>32</x:v>
      </x:c>
      <x:c r="B32" s="7" t="n">
        <x:v>0.4333</x:v>
      </x:c>
      <x:c r="C32" s="7" t="n">
        <x:v>3562.3171</x:v>
      </x:c>
      <x:c r="D32" s="7" t="n">
        <x:v>18.6781</x:v>
      </x:c>
      <x:c r="E32" s="7" t="n">
        <x:v>3543.638999999999</x:v>
      </x:c>
      <x:c r="F32" s="7" t="n">
        <x:v>0</x:v>
      </x:c>
      <x:c r="G32" s="7" t="n">
        <x:v>0</x:v>
      </x:c>
      <x:c r="H32" s="7" t="n">
        <x:v>0</x:v>
      </x:c>
      <x:c r="I32" s="7" t="n">
        <x:v>10800.000000000002</x:v>
      </x:c>
      <x:c r="J32" s="7" t="n">
        <x:v>10800.000000000002</x:v>
      </x:c>
      <x:c r="K32" s="7" t="n">
        <x:f t="shared" si="0">E32*'修订说明'!$B$2</x:f>
        <x:v>590.6064999999999</x:v>
      </x:c>
      <x:c r="L32" s="7" t="n">
        <x:f t="shared" si="1">B32*K32</x:f>
        <x:v>255.90979644999996</x:v>
      </x:c>
    </x:row>
    <x:row r="33">
      <x:c r="A33" t="s">
        <x:v>33</x:v>
      </x:c>
      <x:c r="B33" s="7" t="n">
        <x:v>0.4439</x:v>
      </x:c>
      <x:c r="C33" s="7" t="n">
        <x:v>3591.3809</x:v>
      </x:c>
      <x:c r="D33" s="7" t="n">
        <x:v>54.4698</x:v>
      </x:c>
      <x:c r="E33" s="7" t="n">
        <x:v>3536.911100000001</x:v>
      </x:c>
      <x:c r="F33" s="7" t="n">
        <x:v>0</x:v>
      </x:c>
      <x:c r="G33" s="7" t="n">
        <x:v>0</x:v>
      </x:c>
      <x:c r="H33" s="7" t="n">
        <x:v>0</x:v>
      </x:c>
      <x:c r="I33" s="7" t="n">
        <x:v>10800.000000000002</x:v>
      </x:c>
      <x:c r="J33" s="7" t="n">
        <x:v>10800.000000000002</x:v>
      </x:c>
      <x:c r="K33" s="7" t="n">
        <x:f t="shared" si="0">E33*'修订说明'!$B$2</x:f>
        <x:v>589.4851833333335</x:v>
      </x:c>
      <x:c r="L33" s="7" t="n">
        <x:f t="shared" si="1">B33*K33</x:f>
        <x:v>261.67247288166675</x:v>
      </x:c>
    </x:row>
    <x:row r="34">
      <x:c r="A34" t="s">
        <x:v>34</x:v>
      </x:c>
      <x:c r="B34" s="7" t="n">
        <x:v>0.4301</x:v>
      </x:c>
      <x:c r="C34" s="7" t="n">
        <x:v>3579.7045</x:v>
      </x:c>
      <x:c r="D34" s="7" t="n">
        <x:v>108.9718</x:v>
      </x:c>
      <x:c r="E34" s="7" t="n">
        <x:v>2480.959455913045</x:v>
      </x:c>
      <x:c r="F34" s="7" t="n">
        <x:v>0</x:v>
      </x:c>
      <x:c r="G34" s="7" t="n">
        <x:v>989.7732440869194</x:v>
      </x:c>
      <x:c r="H34" s="7" t="n">
        <x:v>0</x:v>
      </x:c>
      <x:c r="I34" s="7" t="n">
        <x:v>10800.000000000002</x:v>
      </x:c>
      <x:c r="J34" s="7" t="n">
        <x:v>10626.114565643971</x:v>
      </x:c>
      <x:c r="K34" s="7" t="n">
        <x:f t="shared" ref="K34:K65" si="2">E34*'修订说明'!$B$2</x:f>
        <x:v>413.49324265217416</x:v>
      </x:c>
      <x:c r="L34" s="7" t="n">
        <x:f t="shared" ref="L34:L65" si="3">B34*K34</x:f>
        <x:v>177.8434436647001</x:v>
      </x:c>
    </x:row>
    <x:row r="35">
      <x:c r="A35" t="s">
        <x:v>35</x:v>
      </x:c>
      <x:c r="B35" s="7" t="n">
        <x:v>0.3713</x:v>
      </x:c>
      <x:c r="C35" s="7" t="n">
        <x:v>3486.119</x:v>
      </x:c>
      <x:c r="D35" s="7" t="n">
        <x:v>184.1603</x:v>
      </x:c>
      <x:c r="E35" s="7" t="n">
        <x:v>1312.185455913048</x:v>
      </x:c>
      <x:c r="F35" s="7" t="n">
        <x:v>0</x:v>
      </x:c>
      <x:c r="G35" s="7" t="n">
        <x:v>1989.773244086936</x:v>
      </x:c>
      <x:c r="H35" s="7" t="n">
        <x:v>0</x:v>
      </x:c>
      <x:c r="I35" s="7" t="n">
        <x:v>10626.114565643971</x:v>
      </x:c>
      <x:c r="J35" s="7" t="n">
        <x:v>10276.547039056364</x:v>
      </x:c>
      <x:c r="K35" s="7" t="n">
        <x:f t="shared" si="2">E35*'修订说明'!$B$2</x:f>
        <x:v>218.69757598550797</x:v>
      </x:c>
      <x:c r="L35" s="7" t="n">
        <x:f t="shared" si="3">B35*K35</x:f>
        <x:v>81.20240996341911</x:v>
      </x:c>
    </x:row>
    <x:row r="36">
      <x:c r="A36" t="s">
        <x:v>36</x:v>
      </x:c>
      <x:c r="B36" s="7" t="n">
        <x:v>0.5708</x:v>
      </x:c>
      <x:c r="C36" s="7" t="n">
        <x:v>3823.8994</x:v>
      </x:c>
      <x:c r="D36" s="7" t="n">
        <x:v>277.0582</x:v>
      </x:c>
      <x:c r="E36" s="7" t="n">
        <x:v>557.0679559130476</x:v>
      </x:c>
      <x:c r="F36" s="7" t="n">
        <x:v>0</x:v>
      </x:c>
      <x:c r="G36" s="7" t="n">
        <x:v>2989.7732440868995</x:v>
      </x:c>
      <x:c r="H36" s="7" t="n">
        <x:v>0</x:v>
      </x:c>
      <x:c r="I36" s="7" t="n">
        <x:v>10276.547039056364</x:v>
      </x:c>
      <x:c r="J36" s="7" t="n">
        <x:v>9751.29742023718</x:v>
      </x:c>
      <x:c r="K36" s="7" t="n">
        <x:f t="shared" si="2">E36*'修订说明'!$B$2</x:f>
        <x:v>92.84465931884127</x:v>
      </x:c>
      <x:c r="L36" s="7" t="n">
        <x:f t="shared" si="3">B36*K36</x:f>
        <x:v>52.995731539194594</x:v>
      </x:c>
    </x:row>
    <x:row r="37">
      <x:c r="A37" t="s">
        <x:v>37</x:v>
      </x:c>
      <x:c r="B37" s="7" t="n">
        <x:v>0.9099</x:v>
      </x:c>
      <x:c r="C37" s="7" t="n">
        <x:v>4398.0727</x:v>
      </x:c>
      <x:c r="D37" s="7" t="n">
        <x:v>388.5494</x:v>
      </x:c>
      <x:c r="E37" s="7" t="n">
        <x:v>19.75005591304762</x:v>
      </x:c>
      <x:c r="F37" s="7" t="n">
        <x:v>0</x:v>
      </x:c>
      <x:c r="G37" s="7" t="n">
        <x:v>3989.7732440870136</x:v>
      </x:c>
      <x:c r="H37" s="7" t="n">
        <x:v>0</x:v>
      </x:c>
      <x:c r="I37" s="7" t="n">
        <x:v>9751.29742023718</x:v>
      </x:c>
      <x:c r="J37" s="7" t="n">
        <x:v>9050.365709186419</x:v>
      </x:c>
      <x:c r="K37" s="7" t="n">
        <x:f t="shared" si="2">E37*'修订说明'!$B$2</x:f>
        <x:v>3.2916759855079367</x:v>
      </x:c>
      <x:c r="L37" s="7" t="n">
        <x:f t="shared" si="3">B37*K37</x:f>
        <x:v>2.9950959792136715</x:v>
      </x:c>
    </x:row>
    <x:row r="38">
      <x:c r="A38" t="s">
        <x:v>38</x:v>
      </x:c>
      <x:c r="B38" s="7" t="n">
        <x:v>0.9368</x:v>
      </x:c>
      <x:c r="C38" s="7" t="n">
        <x:v>4454.0123</x:v>
      </x:c>
      <x:c r="D38" s="7" t="n">
        <x:v>521.2803</x:v>
      </x:c>
      <x:c r="E38" s="7" t="n">
        <x:v>0</x:v>
      </x:c>
      <x:c r="F38" s="7" t="n">
        <x:v>0</x:v>
      </x:c>
      <x:c r="G38" s="7" t="n">
        <x:v>3932.7319999999863</x:v>
      </x:c>
      <x:c r="H38" s="7" t="n">
        <x:v>0</x:v>
      </x:c>
      <x:c r="I38" s="7" t="n">
        <x:v>9050.365709186419</x:v>
      </x:c>
      <x:c r="J38" s="7" t="n">
        <x:v>8359.455123240346</x:v>
      </x:c>
      <x:c r="K38" s="7" t="n">
        <x:f t="shared" si="2">E38*'修订说明'!$B$2</x:f>
        <x:v>0</x:v>
      </x:c>
      <x:c r="L38" s="7" t="n">
        <x:f t="shared" si="3">B38*K38</x:f>
        <x:v>0</x:v>
      </x:c>
    </x:row>
    <x:row r="39">
      <x:c r="A39" t="s">
        <x:v>39</x:v>
      </x:c>
      <x:c r="B39" s="7" t="n">
        <x:v>0.8758</x:v>
      </x:c>
      <x:c r="C39" s="7" t="n">
        <x:v>4371.7919</x:v>
      </x:c>
      <x:c r="D39" s="7" t="n">
        <x:v>672.7677</x:v>
      </x:c>
      <x:c r="E39" s="7" t="n">
        <x:v>0</x:v>
      </x:c>
      <x:c r="F39" s="7" t="n">
        <x:v>0</x:v>
      </x:c>
      <x:c r="G39" s="7" t="n">
        <x:v>3699.0242000000594</x:v>
      </x:c>
      <x:c r="H39" s="7" t="n">
        <x:v>0</x:v>
      </x:c>
      <x:c r="I39" s="7" t="n">
        <x:v>8359.455123240346</x:v>
      </x:c>
      <x:c r="J39" s="7" t="n">
        <x:v>7709.602812569111</x:v>
      </x:c>
      <x:c r="K39" s="7" t="n">
        <x:f t="shared" si="2">E39*'修订说明'!$B$2</x:f>
        <x:v>0</x:v>
      </x:c>
      <x:c r="L39" s="7" t="n">
        <x:f t="shared" si="3">B39*K39</x:f>
        <x:v>0</x:v>
      </x:c>
    </x:row>
    <x:row r="40">
      <x:c r="A40" t="s">
        <x:v>40</x:v>
      </x:c>
      <x:c r="B40" s="7" t="n">
        <x:v>0.8759</x:v>
      </x:c>
      <x:c r="C40" s="7" t="n">
        <x:v>4392.953</x:v>
      </x:c>
      <x:c r="D40" s="7" t="n">
        <x:v>844.2261</x:v>
      </x:c>
      <x:c r="E40" s="7" t="n">
        <x:v>0</x:v>
      </x:c>
      <x:c r="F40" s="7" t="n">
        <x:v>0</x:v>
      </x:c>
      <x:c r="G40" s="7" t="n">
        <x:v>3548.726899999899</x:v>
      </x:c>
      <x:c r="H40" s="7" t="n">
        <x:v>0</x:v>
      </x:c>
      <x:c r="I40" s="7" t="n">
        <x:v>7709.602812569111</x:v>
      </x:c>
      <x:c r="J40" s="7" t="n">
        <x:v>7086.155046018635</x:v>
      </x:c>
      <x:c r="K40" s="7" t="n">
        <x:f t="shared" si="2">E40*'修订说明'!$B$2</x:f>
        <x:v>0</x:v>
      </x:c>
      <x:c r="L40" s="7" t="n">
        <x:f t="shared" si="3">B40*K40</x:f>
        <x:v>0</x:v>
      </x:c>
    </x:row>
    <x:row r="41">
      <x:c r="A41" t="s">
        <x:v>41</x:v>
      </x:c>
      <x:c r="B41" s="7" t="n">
        <x:v>0.8601</x:v>
      </x:c>
      <x:c r="C41" s="7" t="n">
        <x:v>4384.5956</x:v>
      </x:c>
      <x:c r="D41" s="7" t="n">
        <x:v>1039.6744</x:v>
      </x:c>
      <x:c r="E41" s="7" t="n">
        <x:v>0</x:v>
      </x:c>
      <x:c r="F41" s="7" t="n">
        <x:v>0</x:v>
      </x:c>
      <x:c r="G41" s="7" t="n">
        <x:v>3344.921199999986</x:v>
      </x:c>
      <x:c r="H41" s="7" t="n">
        <x:v>0</x:v>
      </x:c>
      <x:c r="I41" s="7" t="n">
        <x:v>7086.155046018635</x:v>
      </x:c>
      <x:c r="J41" s="7" t="n">
        <x:v>6498.51229125288</x:v>
      </x:c>
      <x:c r="K41" s="7" t="n">
        <x:f t="shared" si="2">E41*'修订说明'!$B$2</x:f>
        <x:v>0</x:v>
      </x:c>
      <x:c r="L41" s="7" t="n">
        <x:f t="shared" si="3">B41*K41</x:f>
        <x:v>0</x:v>
      </x:c>
    </x:row>
    <x:row r="42">
      <x:c r="A42" t="s">
        <x:v>42</x:v>
      </x:c>
      <x:c r="B42" s="7" t="n">
        <x:v>0.8442</x:v>
      </x:c>
      <x:c r="C42" s="7" t="n">
        <x:v>4434.7757</x:v>
      </x:c>
      <x:c r="D42" s="7" t="n">
        <x:v>1259.3375</x:v>
      </x:c>
      <x:c r="E42" s="7" t="n">
        <x:v>0</x:v>
      </x:c>
      <x:c r="F42" s="7" t="n">
        <x:v>0</x:v>
      </x:c>
      <x:c r="G42" s="7" t="n">
        <x:v>3175.4382000000187</x:v>
      </x:c>
      <x:c r="H42" s="7" t="n">
        <x:v>0</x:v>
      </x:c>
      <x:c r="I42" s="7" t="n">
        <x:v>6498.51229125288</x:v>
      </x:c>
      <x:c r="J42" s="7" t="n">
        <x:v>5940.644664524808</x:v>
      </x:c>
      <x:c r="K42" s="7" t="n">
        <x:f t="shared" si="2">E42*'修订说明'!$B$2</x:f>
        <x:v>0</x:v>
      </x:c>
      <x:c r="L42" s="7" t="n">
        <x:f t="shared" si="3">B42*K42</x:f>
        <x:v>0</x:v>
      </x:c>
    </x:row>
    <x:row r="43">
      <x:c r="A43" t="s">
        <x:v>43</x:v>
      </x:c>
      <x:c r="B43" s="7" t="n">
        <x:v>0.8334</x:v>
      </x:c>
      <x:c r="C43" s="7" t="n">
        <x:v>4523.4561</x:v>
      </x:c>
      <x:c r="D43" s="7" t="n">
        <x:v>1508.6318</x:v>
      </x:c>
      <x:c r="E43" s="7" t="n">
        <x:v>0</x:v>
      </x:c>
      <x:c r="F43" s="7" t="n">
        <x:v>0</x:v>
      </x:c>
      <x:c r="G43" s="7" t="n">
        <x:v>3014.8243000000393</x:v>
      </x:c>
      <x:c r="H43" s="7" t="n">
        <x:v>0</x:v>
      </x:c>
      <x:c r="I43" s="7" t="n">
        <x:v>5940.644664524808</x:v>
      </x:c>
      <x:c r="J43" s="7" t="n">
        <x:v>5410.994023790208</x:v>
      </x:c>
      <x:c r="K43" s="7" t="n">
        <x:f t="shared" si="2">E43*'修订说明'!$B$2</x:f>
        <x:v>0</x:v>
      </x:c>
      <x:c r="L43" s="7" t="n">
        <x:f t="shared" si="3">B43*K43</x:f>
        <x:v>0</x:v>
      </x:c>
    </x:row>
    <x:row r="44">
      <x:c r="A44" t="s">
        <x:v>44</x:v>
      </x:c>
      <x:c r="B44" s="7" t="n">
        <x:v>0.8092</x:v>
      </x:c>
      <x:c r="C44" s="7" t="n">
        <x:v>4524.0721</x:v>
      </x:c>
      <x:c r="D44" s="7" t="n">
        <x:v>1791.4107</x:v>
      </x:c>
      <x:c r="E44" s="7" t="n">
        <x:v>0</x:v>
      </x:c>
      <x:c r="F44" s="7" t="n">
        <x:v>0</x:v>
      </x:c>
      <x:c r="G44" s="7" t="n">
        <x:v>2732.6613999999686</x:v>
      </x:c>
      <x:c r="H44" s="7" t="n">
        <x:v>0</x:v>
      </x:c>
      <x:c r="I44" s="7" t="n">
        <x:v>5410.994023790208</x:v>
      </x:c>
      <x:c r="J44" s="7" t="n">
        <x:v>4930.914351677739</x:v>
      </x:c>
      <x:c r="K44" s="7" t="n">
        <x:f t="shared" si="2">E44*'修订说明'!$B$2</x:f>
        <x:v>0</x:v>
      </x:c>
      <x:c r="L44" s="7" t="n">
        <x:f t="shared" si="3">B44*K44</x:f>
        <x:v>0</x:v>
      </x:c>
    </x:row>
    <x:row r="45">
      <x:c r="A45" t="s">
        <x:v>45</x:v>
      </x:c>
      <x:c r="B45" s="7" t="n">
        <x:v>0.7972</x:v>
      </x:c>
      <x:c r="C45" s="7" t="n">
        <x:v>4545.8867</x:v>
      </x:c>
      <x:c r="D45" s="7" t="n">
        <x:v>2085.4865</x:v>
      </x:c>
      <x:c r="E45" s="7" t="n">
        <x:v>0</x:v>
      </x:c>
      <x:c r="F45" s="7" t="n">
        <x:v>0</x:v>
      </x:c>
      <x:c r="G45" s="7" t="n">
        <x:v>2460.4002</x:v>
      </x:c>
      <x:c r="H45" s="7" t="n">
        <x:v>0</x:v>
      </x:c>
      <x:c r="I45" s="7" t="n">
        <x:v>4930.914351677739</x:v>
      </x:c>
      <x:c r="J45" s="7" t="n">
        <x:v>4498.66609681475</x:v>
      </x:c>
      <x:c r="K45" s="7" t="n">
        <x:f t="shared" si="2">E45*'修订说明'!$B$2</x:f>
        <x:v>0</x:v>
      </x:c>
      <x:c r="L45" s="7" t="n">
        <x:f t="shared" si="3">B45*K45</x:f>
        <x:v>0</x:v>
      </x:c>
    </x:row>
    <x:row r="46">
      <x:c r="A46" t="s">
        <x:v>46</x:v>
      </x:c>
      <x:c r="B46" s="7" t="n">
        <x:v>0.7644</x:v>
      </x:c>
      <x:c r="C46" s="7" t="n">
        <x:v>4523.2418</x:v>
      </x:c>
      <x:c r="D46" s="7" t="n">
        <x:v>2381.2611</x:v>
      </x:c>
      <x:c r="E46" s="7" t="n">
        <x:v>0</x:v>
      </x:c>
      <x:c r="F46" s="7" t="n">
        <x:v>0</x:v>
      </x:c>
      <x:c r="G46" s="7" t="n">
        <x:v>2141.9807000000387</x:v>
      </x:c>
      <x:c r="H46" s="7" t="n">
        <x:v>0</x:v>
      </x:c>
      <x:c r="I46" s="7" t="n">
        <x:v>4498.66609681475</x:v>
      </x:c>
      <x:c r="J46" s="7" t="n">
        <x:v>4122.358445919092</x:v>
      </x:c>
      <x:c r="K46" s="7" t="n">
        <x:f t="shared" si="2">E46*'修订说明'!$B$2</x:f>
        <x:v>0</x:v>
      </x:c>
      <x:c r="L46" s="7" t="n">
        <x:f t="shared" si="3">B46*K46</x:f>
        <x:v>0</x:v>
      </x:c>
    </x:row>
    <x:row r="47">
      <x:c r="A47" t="s">
        <x:v>47</x:v>
      </x:c>
      <x:c r="B47" s="7" t="n">
        <x:v>0.6899</x:v>
      </x:c>
      <x:c r="C47" s="7" t="n">
        <x:v>4383.3566</x:v>
      </x:c>
      <x:c r="D47" s="7" t="n">
        <x:v>2683.1752</x:v>
      </x:c>
      <x:c r="E47" s="7" t="n">
        <x:v>0</x:v>
      </x:c>
      <x:c r="F47" s="7" t="n">
        <x:v>0</x:v>
      </x:c>
      <x:c r="G47" s="7" t="n">
        <x:v>1700.1814000000138</x:v>
      </x:c>
      <x:c r="H47" s="7" t="n">
        <x:v>0</x:v>
      </x:c>
      <x:c r="I47" s="7" t="n">
        <x:v>4122.358445919092</x:v>
      </x:c>
      <x:c r="J47" s="7" t="n">
        <x:v>3823.667020393881</x:v>
      </x:c>
      <x:c r="K47" s="7" t="n">
        <x:f t="shared" si="2">E47*'修订说明'!$B$2</x:f>
        <x:v>0</x:v>
      </x:c>
      <x:c r="L47" s="7" t="n">
        <x:f t="shared" si="3">B47*K47</x:f>
        <x:v>0</x:v>
      </x:c>
    </x:row>
    <x:row r="48">
      <x:c r="A48" t="s">
        <x:v>48</x:v>
      </x:c>
      <x:c r="B48" s="7" t="n">
        <x:v>0.86</x:v>
      </x:c>
      <x:c r="C48" s="7" t="n">
        <x:v>4910.4599</x:v>
      </x:c>
      <x:c r="D48" s="7" t="n">
        <x:v>2986.3552</x:v>
      </x:c>
      <x:c r="E48" s="7" t="n">
        <x:v>0</x:v>
      </x:c>
      <x:c r="F48" s="7" t="n">
        <x:v>0</x:v>
      </x:c>
      <x:c r="G48" s="7" t="n">
        <x:v>1924.1047000000012</x:v>
      </x:c>
      <x:c r="H48" s="7" t="n">
        <x:v>0</x:v>
      </x:c>
      <x:c r="I48" s="7" t="n">
        <x:v>3823.667020393881</x:v>
      </x:c>
      <x:c r="J48" s="7" t="n">
        <x:v>3485.636281025271</x:v>
      </x:c>
      <x:c r="K48" s="7" t="n">
        <x:f t="shared" si="2">E48*'修订说明'!$B$2</x:f>
        <x:v>0</x:v>
      </x:c>
      <x:c r="L48" s="7" t="n">
        <x:f t="shared" si="3">B48*K48</x:f>
        <x:v>0</x:v>
      </x:c>
    </x:row>
    <x:row r="49">
      <x:c r="A49" t="s">
        <x:v>49</x:v>
      </x:c>
      <x:c r="B49" s="7" t="n">
        <x:v>1.1617</x:v>
      </x:c>
      <x:c r="C49" s="7" t="n">
        <x:v>5799.7327</x:v>
      </x:c>
      <x:c r="D49" s="7" t="n">
        <x:v>3289.204</x:v>
      </x:c>
      <x:c r="E49" s="7" t="n">
        <x:v>0</x:v>
      </x:c>
      <x:c r="F49" s="7" t="n">
        <x:v>0</x:v>
      </x:c>
      <x:c r="G49" s="7" t="n">
        <x:v>2510.5286999999935</x:v>
      </x:c>
      <x:c r="H49" s="7" t="n">
        <x:v>0</x:v>
      </x:c>
      <x:c r="I49" s="7" t="n">
        <x:v>3485.636281025271</x:v>
      </x:c>
      <x:c r="J49" s="7" t="n">
        <x:v>3044.581346401851</x:v>
      </x:c>
      <x:c r="K49" s="7" t="n">
        <x:f t="shared" si="2">E49*'修订说明'!$B$2</x:f>
        <x:v>0</x:v>
      </x:c>
      <x:c r="L49" s="7" t="n">
        <x:f t="shared" si="3">B49*K49</x:f>
        <x:v>0</x:v>
      </x:c>
    </x:row>
    <x:row r="50">
      <x:c r="A50" t="s">
        <x:v>50</x:v>
      </x:c>
      <x:c r="B50" s="7" t="n">
        <x:v>1.1683</x:v>
      </x:c>
      <x:c r="C50" s="7" t="n">
        <x:v>5884.826</x:v>
      </x:c>
      <x:c r="D50" s="7" t="n">
        <x:v>3593.3613</x:v>
      </x:c>
      <x:c r="E50" s="7" t="n">
        <x:v>0</x:v>
      </x:c>
      <x:c r="F50" s="7" t="n">
        <x:v>0</x:v>
      </x:c>
      <x:c r="G50" s="7" t="n">
        <x:v>2291.4647000000055</x:v>
      </x:c>
      <x:c r="H50" s="7" t="n">
        <x:v>0</x:v>
      </x:c>
      <x:c r="I50" s="7" t="n">
        <x:v>3044.581346401851</x:v>
      </x:c>
      <x:c r="J50" s="7" t="n">
        <x:v>2642.012033631049</x:v>
      </x:c>
      <x:c r="K50" s="7" t="n">
        <x:f t="shared" si="2">E50*'修订说明'!$B$2</x:f>
        <x:v>0</x:v>
      </x:c>
      <x:c r="L50" s="7" t="n">
        <x:f t="shared" si="3">B50*K50</x:f>
        <x:v>0</x:v>
      </x:c>
    </x:row>
    <x:row r="51">
      <x:c r="A51" t="s">
        <x:v>51</x:v>
      </x:c>
      <x:c r="B51" s="7" t="n">
        <x:v>1.0956</x:v>
      </x:c>
      <x:c r="C51" s="7" t="n">
        <x:v>5748.0713</x:v>
      </x:c>
      <x:c r="D51" s="7" t="n">
        <x:v>3890.7332</x:v>
      </x:c>
      <x:c r="E51" s="7" t="n">
        <x:v>0</x:v>
      </x:c>
      <x:c r="F51" s="7" t="n">
        <x:v>0</x:v>
      </x:c>
      <x:c r="G51" s="7" t="n">
        <x:v>1857.3380999999943</x:v>
      </x:c>
      <x:c r="H51" s="7" t="n">
        <x:v>0</x:v>
      </x:c>
      <x:c r="I51" s="7" t="n">
        <x:v>2642.012033631049</x:v>
      </x:c>
      <x:c r="J51" s="7" t="n">
        <x:v>2315.7109902416278</x:v>
      </x:c>
      <x:c r="K51" s="7" t="n">
        <x:f t="shared" si="2">E51*'修订说明'!$B$2</x:f>
        <x:v>0</x:v>
      </x:c>
      <x:c r="L51" s="7" t="n">
        <x:f t="shared" si="3">B51*K51</x:f>
        <x:v>0</x:v>
      </x:c>
    </x:row>
    <x:row r="52">
      <x:c r="A52" t="s">
        <x:v>52</x:v>
      </x:c>
      <x:c r="B52" s="7" t="n">
        <x:v>1.0849</x:v>
      </x:c>
      <x:c r="C52" s="7" t="n">
        <x:v>5769.0581</x:v>
      </x:c>
      <x:c r="D52" s="7" t="n">
        <x:v>4181.3417</x:v>
      </x:c>
      <x:c r="E52" s="7" t="n">
        <x:v>0</x:v>
      </x:c>
      <x:c r="F52" s="7" t="n">
        <x:v>0</x:v>
      </x:c>
      <x:c r="G52" s="7" t="n">
        <x:v>1587.71640000001</x:v>
      </x:c>
      <x:c r="H52" s="7" t="n">
        <x:v>0</x:v>
      </x:c>
      <x:c r="I52" s="7" t="n">
        <x:v>2315.7109902416278</x:v>
      </x:c>
      <x:c r="J52" s="7" t="n">
        <x:v>2036.7776512192406</x:v>
      </x:c>
      <x:c r="K52" s="7" t="n">
        <x:f t="shared" si="2">E52*'修订说明'!$B$2</x:f>
        <x:v>0</x:v>
      </x:c>
      <x:c r="L52" s="7" t="n">
        <x:f t="shared" si="3">B52*K52</x:f>
        <x:v>0</x:v>
      </x:c>
    </x:row>
    <x:row r="53">
      <x:c r="A53" t="s">
        <x:v>53</x:v>
      </x:c>
      <x:c r="B53" s="7" t="n">
        <x:v>1.061</x:v>
      </x:c>
      <x:c r="C53" s="7" t="n">
        <x:v>5754.2105</x:v>
      </x:c>
      <x:c r="D53" s="7" t="n">
        <x:v>4471.7657</x:v>
      </x:c>
      <x:c r="E53" s="7" t="n">
        <x:v>0</x:v>
      </x:c>
      <x:c r="F53" s="7" t="n">
        <x:v>0</x:v>
      </x:c>
      <x:c r="G53" s="7" t="n">
        <x:v>1282.444799999991</x:v>
      </x:c>
      <x:c r="H53" s="7" t="n">
        <x:v>0</x:v>
      </x:c>
      <x:c r="I53" s="7" t="n">
        <x:v>2036.7776512192406</x:v>
      </x:c>
      <x:c r="J53" s="7" t="n">
        <x:v>1811.475065583735</x:v>
      </x:c>
      <x:c r="K53" s="7" t="n">
        <x:f t="shared" si="2">E53*'修订说明'!$B$2</x:f>
        <x:v>0</x:v>
      </x:c>
      <x:c r="L53" s="7" t="n">
        <x:f t="shared" si="3">B53*K53</x:f>
        <x:v>0</x:v>
      </x:c>
    </x:row>
    <x:row r="54">
      <x:c r="A54" t="s">
        <x:v>54</x:v>
      </x:c>
      <x:c r="B54" s="7" t="n">
        <x:v>1.043</x:v>
      </x:c>
      <x:c r="C54" s="7" t="n">
        <x:v>5824.1807</x:v>
      </x:c>
      <x:c r="D54" s="7" t="n">
        <x:v>4752.8272</x:v>
      </x:c>
      <x:c r="E54" s="7" t="n">
        <x:v>0</x:v>
      </x:c>
      <x:c r="F54" s="7" t="n">
        <x:v>0</x:v>
      </x:c>
      <x:c r="G54" s="7" t="n">
        <x:v>1071.3535000000102</x:v>
      </x:c>
      <x:c r="H54" s="7" t="n">
        <x:v>0</x:v>
      </x:c>
      <x:c r="I54" s="7" t="n">
        <x:v>1811.475065583735</x:v>
      </x:c>
      <x:c r="J54" s="7" t="n">
        <x:v>1623.2574411841122</x:v>
      </x:c>
      <x:c r="K54" s="7" t="n">
        <x:f t="shared" si="2">E54*'修订说明'!$B$2</x:f>
        <x:v>0</x:v>
      </x:c>
      <x:c r="L54" s="7" t="n">
        <x:f t="shared" si="3">B54*K54</x:f>
        <x:v>0</x:v>
      </x:c>
    </x:row>
    <x:row r="55">
      <x:c r="A55" t="s">
        <x:v>55</x:v>
      </x:c>
      <x:c r="B55" s="7" t="n">
        <x:v>1.036</x:v>
      </x:c>
      <x:c r="C55" s="7" t="n">
        <x:v>5954.2601</x:v>
      </x:c>
      <x:c r="D55" s="7" t="n">
        <x:v>5021.9074</x:v>
      </x:c>
      <x:c r="E55" s="7" t="n">
        <x:v>0</x:v>
      </x:c>
      <x:c r="F55" s="7" t="n">
        <x:v>0</x:v>
      </x:c>
      <x:c r="G55" s="7" t="n">
        <x:v>932.3527000000086</x:v>
      </x:c>
      <x:c r="H55" s="7" t="n">
        <x:v>0</x:v>
      </x:c>
      <x:c r="I55" s="7" t="n">
        <x:v>1623.2574411841122</x:v>
      </x:c>
      <x:c r="J55" s="7" t="n">
        <x:v>1459.4597681503526</x:v>
      </x:c>
      <x:c r="K55" s="7" t="n">
        <x:f t="shared" si="2">E55*'修订说明'!$B$2</x:f>
        <x:v>0</x:v>
      </x:c>
      <x:c r="L55" s="7" t="n">
        <x:f t="shared" si="3">B55*K55</x:f>
        <x:v>0</x:v>
      </x:c>
    </x:row>
    <x:row r="56">
      <x:c r="A56" t="s">
        <x:v>56</x:v>
      </x:c>
      <x:c r="B56" s="7" t="n">
        <x:v>1.0147</x:v>
      </x:c>
      <x:c r="C56" s="7" t="n">
        <x:v>5958.9696</x:v>
      </x:c>
      <x:c r="D56" s="7" t="n">
        <x:v>5285.4126</x:v>
      </x:c>
      <x:c r="E56" s="7" t="n">
        <x:v>0</x:v>
      </x:c>
      <x:c r="F56" s="7" t="n">
        <x:v>0</x:v>
      </x:c>
      <x:c r="G56" s="7" t="n">
        <x:v>673.5569999999915</x:v>
      </x:c>
      <x:c r="H56" s="7" t="n">
        <x:v>0</x:v>
      </x:c>
      <x:c r="I56" s="7" t="n">
        <x:v>1459.4597681503526</x:v>
      </x:c>
      <x:c r="J56" s="7" t="n">
        <x:v>1341.1278651531286</x:v>
      </x:c>
      <x:c r="K56" s="7" t="n">
        <x:f t="shared" si="2">E56*'修订说明'!$B$2</x:f>
        <x:v>0</x:v>
      </x:c>
      <x:c r="L56" s="7" t="n">
        <x:f t="shared" si="3">B56*K56</x:f>
        <x:v>0</x:v>
      </x:c>
    </x:row>
    <x:row r="57">
      <x:c r="A57" t="s">
        <x:v>57</x:v>
      </x:c>
      <x:c r="B57" s="7" t="n">
        <x:v>0.9922</x:v>
      </x:c>
      <x:c r="C57" s="7" t="n">
        <x:v>5929.5554</x:v>
      </x:c>
      <x:c r="D57" s="7" t="n">
        <x:v>5543.1742</x:v>
      </x:c>
      <x:c r="E57" s="7" t="n">
        <x:v>0</x:v>
      </x:c>
      <x:c r="F57" s="7" t="n">
        <x:v>0</x:v>
      </x:c>
      <x:c r="G57" s="7" t="n">
        <x:v>386.38120000000816</x:v>
      </x:c>
      <x:c r="H57" s="7" t="n">
        <x:v>0</x:v>
      </x:c>
      <x:c r="I57" s="7" t="n">
        <x:v>1341.1278651531286</x:v>
      </x:c>
      <x:c r="J57" s="7" t="n">
        <x:v>1273.2476075381812</x:v>
      </x:c>
      <x:c r="K57" s="7" t="n">
        <x:f t="shared" si="2">E57*'修订说明'!$B$2</x:f>
        <x:v>0</x:v>
      </x:c>
      <x:c r="L57" s="7" t="n">
        <x:f t="shared" si="3">B57*K57</x:f>
        <x:v>0</x:v>
      </x:c>
    </x:row>
    <x:row r="58">
      <x:c r="A58" t="s">
        <x:v>58</x:v>
      </x:c>
      <x:c r="B58" s="7" t="n">
        <x:v>0.97</x:v>
      </x:c>
      <x:c r="C58" s="7" t="n">
        <x:v>5923.7828</x:v>
      </x:c>
      <x:c r="D58" s="7" t="n">
        <x:v>5788.4093</x:v>
      </x:c>
      <x:c r="E58" s="7" t="n">
        <x:v>0</x:v>
      </x:c>
      <x:c r="F58" s="7" t="n">
        <x:v>0</x:v>
      </x:c>
      <x:c r="G58" s="7" t="n">
        <x:v>135.37350000000004</x:v>
      </x:c>
      <x:c r="H58" s="7" t="n">
        <x:v>0</x:v>
      </x:c>
      <x:c r="I58" s="7" t="n">
        <x:v>1273.2476075381812</x:v>
      </x:c>
      <x:c r="J58" s="7" t="n">
        <x:v>1249.46490782547</x:v>
      </x:c>
      <x:c r="K58" s="7" t="n">
        <x:f t="shared" si="2">E58*'修订说明'!$B$2</x:f>
        <x:v>0</x:v>
      </x:c>
      <x:c r="L58" s="7" t="n">
        <x:f t="shared" si="3">B58*K58</x:f>
        <x:v>0</x:v>
      </x:c>
    </x:row>
    <x:row r="59">
      <x:c r="A59" t="s">
        <x:v>59</x:v>
      </x:c>
      <x:c r="B59" s="7" t="n">
        <x:v>0.9422</x:v>
      </x:c>
      <x:c r="C59" s="7" t="n">
        <x:v>5907.586</x:v>
      </x:c>
      <x:c r="D59" s="7" t="n">
        <x:v>6012.1304</x:v>
      </x:c>
      <x:c r="E59" s="7" t="n">
        <x:v>0</x:v>
      </x:c>
      <x:c r="F59" s="7" t="n">
        <x:v>104.54439999999977</x:v>
      </x:c>
      <x:c r="G59" s="7" t="n">
        <x:v>0</x:v>
      </x:c>
      <x:c r="H59" s="7" t="n">
        <x:v>0</x:v>
      </x:c>
      <x:c r="I59" s="7" t="n">
        <x:v>1249.46490782547</x:v>
      </x:c>
      <x:c r="J59" s="7" t="n">
        <x:v>1265.9948288562553</x:v>
      </x:c>
      <x:c r="K59" s="7" t="n">
        <x:f t="shared" si="2">E59*'修订说明'!$B$2</x:f>
        <x:v>0</x:v>
      </x:c>
      <x:c r="L59" s="7" t="n">
        <x:f t="shared" si="3">B59*K59</x:f>
        <x:v>0</x:v>
      </x:c>
    </x:row>
    <x:row r="60">
      <x:c r="A60" t="s">
        <x:v>60</x:v>
      </x:c>
      <x:c r="B60" s="7" t="n">
        <x:v>0.9569</x:v>
      </x:c>
      <x:c r="C60" s="7" t="n">
        <x:v>5899.1262</x:v>
      </x:c>
      <x:c r="D60" s="7" t="n">
        <x:v>6216.1528</x:v>
      </x:c>
      <x:c r="E60" s="7" t="n">
        <x:v>0</x:v>
      </x:c>
      <x:c r="F60" s="7" t="n">
        <x:v>317.0266000000038</x:v>
      </x:c>
      <x:c r="G60" s="7" t="n">
        <x:v>0</x:v>
      </x:c>
      <x:c r="H60" s="7" t="n">
        <x:v>0</x:v>
      </x:c>
      <x:c r="I60" s="7" t="n">
        <x:v>1265.9948288562553</x:v>
      </x:c>
      <x:c r="J60" s="7" t="n">
        <x:v>1316.121135599212</x:v>
      </x:c>
      <x:c r="K60" s="7" t="n">
        <x:f t="shared" si="2">E60*'修订说明'!$B$2</x:f>
        <x:v>0</x:v>
      </x:c>
      <x:c r="L60" s="7" t="n">
        <x:f t="shared" si="3">B60*K60</x:f>
        <x:v>0</x:v>
      </x:c>
    </x:row>
    <x:row r="61">
      <x:c r="A61" t="s">
        <x:v>61</x:v>
      </x:c>
      <x:c r="B61" s="7" t="n">
        <x:v>0.9977</x:v>
      </x:c>
      <x:c r="C61" s="7" t="n">
        <x:v>5902.2196</x:v>
      </x:c>
      <x:c r="D61" s="7" t="n">
        <x:v>6409.5941</x:v>
      </x:c>
      <x:c r="E61" s="7" t="n">
        <x:v>0</x:v>
      </x:c>
      <x:c r="F61" s="7" t="n">
        <x:v>507.3745000000064</x:v>
      </x:c>
      <x:c r="G61" s="7" t="n">
        <x:v>0</x:v>
      </x:c>
      <x:c r="H61" s="7" t="n">
        <x:v>0</x:v>
      </x:c>
      <x:c r="I61" s="7" t="n">
        <x:v>1316.121135599212</x:v>
      </x:c>
      <x:c r="J61" s="7" t="n">
        <x:v>1396.344087933667</x:v>
      </x:c>
      <x:c r="K61" s="7" t="n">
        <x:f t="shared" si="2">E61*'修订说明'!$B$2</x:f>
        <x:v>0</x:v>
      </x:c>
      <x:c r="L61" s="7" t="n">
        <x:f t="shared" si="3">B61*K61</x:f>
        <x:v>0</x:v>
      </x:c>
    </x:row>
    <x:row r="62">
      <x:c r="A62" t="s">
        <x:v>62</x:v>
      </x:c>
      <x:c r="B62" s="7" t="n">
        <x:v>0.9919</x:v>
      </x:c>
      <x:c r="C62" s="7" t="n">
        <x:v>5897.4793</x:v>
      </x:c>
      <x:c r="D62" s="7" t="n">
        <x:v>6599.3808</x:v>
      </x:c>
      <x:c r="E62" s="7" t="n">
        <x:v>0</x:v>
      </x:c>
      <x:c r="F62" s="7" t="n">
        <x:v>701.9014999999953</x:v>
      </x:c>
      <x:c r="G62" s="7" t="n">
        <x:v>0</x:v>
      </x:c>
      <x:c r="H62" s="7" t="n">
        <x:v>0</x:v>
      </x:c>
      <x:c r="I62" s="7" t="n">
        <x:v>1396.344087933667</x:v>
      </x:c>
      <x:c r="J62" s="7" t="n">
        <x:v>1507.3244595881008</x:v>
      </x:c>
      <x:c r="K62" s="7" t="n">
        <x:f t="shared" si="2">E62*'修订说明'!$B$2</x:f>
        <x:v>0</x:v>
      </x:c>
      <x:c r="L62" s="7" t="n">
        <x:f t="shared" si="3">B62*K62</x:f>
        <x:v>0</x:v>
      </x:c>
    </x:row>
    <x:row r="63">
      <x:c r="A63" t="s">
        <x:v>63</x:v>
      </x:c>
      <x:c r="B63" s="7" t="n">
        <x:v>0.9588</x:v>
      </x:c>
      <x:c r="C63" s="7" t="n">
        <x:v>5886.7568</x:v>
      </x:c>
      <x:c r="D63" s="7" t="n">
        <x:v>6766.7204</x:v>
      </x:c>
      <x:c r="E63" s="7" t="n">
        <x:v>0</x:v>
      </x:c>
      <x:c r="F63" s="7" t="n">
        <x:v>879.9636000000083</x:v>
      </x:c>
      <x:c r="G63" s="7" t="n">
        <x:v>0</x:v>
      </x:c>
      <x:c r="H63" s="7" t="n">
        <x:v>0</x:v>
      </x:c>
      <x:c r="I63" s="7" t="n">
        <x:v>1507.3244595881008</x:v>
      </x:c>
      <x:c r="J63" s="7" t="n">
        <x:v>1646.4589212901678</x:v>
      </x:c>
      <x:c r="K63" s="7" t="n">
        <x:f t="shared" si="2">E63*'修订说明'!$B$2</x:f>
        <x:v>0</x:v>
      </x:c>
      <x:c r="L63" s="7" t="n">
        <x:f t="shared" si="3">B63*K63</x:f>
        <x:v>0</x:v>
      </x:c>
    </x:row>
    <x:row r="64">
      <x:c r="A64" t="s">
        <x:v>64</x:v>
      </x:c>
      <x:c r="B64" s="7" t="n">
        <x:v>0.9549</x:v>
      </x:c>
      <x:c r="C64" s="7" t="n">
        <x:v>5873.4708</x:v>
      </x:c>
      <x:c r="D64" s="7" t="n">
        <x:v>6914.5923</x:v>
      </x:c>
      <x:c r="E64" s="7" t="n">
        <x:v>0</x:v>
      </x:c>
      <x:c r="F64" s="7" t="n">
        <x:v>1041.1214999999952</x:v>
      </x:c>
      <x:c r="G64" s="7" t="n">
        <x:v>0</x:v>
      </x:c>
      <x:c r="H64" s="7" t="n">
        <x:v>0</x:v>
      </x:c>
      <x:c r="I64" s="7" t="n">
        <x:v>1646.4589212901678</x:v>
      </x:c>
      <x:c r="J64" s="7" t="n">
        <x:v>1811.0746843387176</x:v>
      </x:c>
      <x:c r="K64" s="7" t="n">
        <x:f t="shared" si="2">E64*'修订说明'!$B$2</x:f>
        <x:v>0</x:v>
      </x:c>
      <x:c r="L64" s="7" t="n">
        <x:f t="shared" si="3">B64*K64</x:f>
        <x:v>0</x:v>
      </x:c>
    </x:row>
    <x:row r="65">
      <x:c r="A65" t="s">
        <x:v>65</x:v>
      </x:c>
      <x:c r="B65" s="7" t="n">
        <x:v>0.9839</x:v>
      </x:c>
      <x:c r="C65" s="7" t="n">
        <x:v>5858.0308</x:v>
      </x:c>
      <x:c r="D65" s="7" t="n">
        <x:v>7064.2053</x:v>
      </x:c>
      <x:c r="E65" s="7" t="n">
        <x:v>0</x:v>
      </x:c>
      <x:c r="F65" s="7" t="n">
        <x:v>1206.1745000000037</x:v>
      </x:c>
      <x:c r="G65" s="7" t="n">
        <x:v>0</x:v>
      </x:c>
      <x:c r="H65" s="7" t="n">
        <x:v>0</x:v>
      </x:c>
      <x:c r="I65" s="7" t="n">
        <x:v>1811.0746843387176</x:v>
      </x:c>
      <x:c r="J65" s="7" t="n">
        <x:v>2001.7876181194556</x:v>
      </x:c>
      <x:c r="K65" s="7" t="n">
        <x:f t="shared" si="2">E65*'修订说明'!$B$2</x:f>
        <x:v>0</x:v>
      </x:c>
      <x:c r="L65" s="7" t="n">
        <x:f t="shared" si="3">B65*K65</x:f>
        <x:v>0</x:v>
      </x:c>
    </x:row>
    <x:row r="66">
      <x:c r="A66" t="s">
        <x:v>66</x:v>
      </x:c>
      <x:c r="B66" s="7" t="n">
        <x:v>0.799</x:v>
      </x:c>
      <x:c r="C66" s="7" t="n">
        <x:v>5844.9948</x:v>
      </x:c>
      <x:c r="D66" s="7" t="n">
        <x:v>7197.4315</x:v>
      </x:c>
      <x:c r="E66" s="7" t="n">
        <x:v>0</x:v>
      </x:c>
      <x:c r="F66" s="7" t="n">
        <x:v>1352.4366999999975</x:v>
      </x:c>
      <x:c r="G66" s="7" t="n">
        <x:v>0</x:v>
      </x:c>
      <x:c r="H66" s="7" t="n">
        <x:v>0</x:v>
      </x:c>
      <x:c r="I66" s="7" t="n">
        <x:v>2001.7876181194556</x:v>
      </x:c>
      <x:c r="J66" s="7" t="n">
        <x:v>2215.6266362795477</x:v>
      </x:c>
      <x:c r="K66" s="7" t="n">
        <x:f t="shared" ref="K66:K97" si="4">E66*'修订说明'!$B$2</x:f>
        <x:v>0</x:v>
      </x:c>
      <x:c r="L66" s="7" t="n">
        <x:f t="shared" ref="L66:L97" si="5">B66*K66</x:f>
        <x:v>0</x:v>
      </x:c>
    </x:row>
    <x:row r="67">
      <x:c r="A67" t="s">
        <x:v>67</x:v>
      </x:c>
      <x:c r="B67" s="7" t="n">
        <x:v>0.5025</x:v>
      </x:c>
      <x:c r="C67" s="7" t="n">
        <x:v>5839.0587</x:v>
      </x:c>
      <x:c r="D67" s="7" t="n">
        <x:v>7303.1142</x:v>
      </x:c>
      <x:c r="E67" s="7" t="n">
        <x:v>0</x:v>
      </x:c>
      <x:c r="F67" s="7" t="n">
        <x:v>1464.055500000002</x:v>
      </x:c>
      <x:c r="G67" s="7" t="n">
        <x:v>0</x:v>
      </x:c>
      <x:c r="H67" s="7" t="n">
        <x:v>0</x:v>
      </x:c>
      <x:c r="I67" s="7" t="n">
        <x:v>2215.6266362795477</x:v>
      </x:c>
      <x:c r="J67" s="7" t="n">
        <x:v>2447.11413632438</x:v>
      </x:c>
      <x:c r="K67" s="7" t="n">
        <x:f t="shared" si="4">E67*'修订说明'!$B$2</x:f>
        <x:v>0</x:v>
      </x:c>
      <x:c r="L67" s="7" t="n">
        <x:f t="shared" si="5">B67*K67</x:f>
        <x:v>0</x:v>
      </x:c>
    </x:row>
    <x:row r="68">
      <x:c r="A68" t="s">
        <x:v>68</x:v>
      </x:c>
      <x:c r="B68" s="7" t="n">
        <x:v>0.4662</x:v>
      </x:c>
      <x:c r="C68" s="7" t="n">
        <x:v>5838.7103</x:v>
      </x:c>
      <x:c r="D68" s="7" t="n">
        <x:v>7387.6848</x:v>
      </x:c>
      <x:c r="E68" s="7" t="n">
        <x:v>914.2965073188035</x:v>
      </x:c>
      <x:c r="F68" s="7" t="n">
        <x:v>2463.2710073187877</x:v>
      </x:c>
      <x:c r="G68" s="7" t="n">
        <x:v>0</x:v>
      </x:c>
      <x:c r="H68" s="7" t="n">
        <x:v>0</x:v>
      </x:c>
      <x:c r="I68" s="7" t="n">
        <x:v>2447.11413632438</x:v>
      </x:c>
      <x:c r="J68" s="7" t="n">
        <x:v>2836.591480193616</x:v>
      </x:c>
      <x:c r="K68" s="7" t="n">
        <x:f t="shared" si="4">E68*'修订说明'!$B$2</x:f>
        <x:v>152.38275121980058</x:v>
      </x:c>
      <x:c r="L68" s="7" t="n">
        <x:f t="shared" si="5">B68*K68</x:f>
        <x:v>71.04083861867103</x:v>
      </x:c>
    </x:row>
    <x:row r="69">
      <x:c r="A69" t="s">
        <x:v>69</x:v>
      </x:c>
      <x:c r="B69" s="7" t="n">
        <x:v>0.5007</x:v>
      </x:c>
      <x:c r="C69" s="7" t="n">
        <x:v>5823.4378</x:v>
      </x:c>
      <x:c r="D69" s="7" t="n">
        <x:v>7459.227</x:v>
      </x:c>
      <x:c r="E69" s="7" t="n">
        <x:v>827.4818073188036</x:v>
      </x:c>
      <x:c r="F69" s="7" t="n">
        <x:v>2463.27100731876</x:v>
      </x:c>
      <x:c r="G69" s="7" t="n">
        <x:v>0</x:v>
      </x:c>
      <x:c r="H69" s="7" t="n">
        <x:v>0</x:v>
      </x:c>
      <x:c r="I69" s="7" t="n">
        <x:v>2836.591480193616</x:v>
      </x:c>
      <x:c r="J69" s="7" t="n">
        <x:v>3226.0688240628524</x:v>
      </x:c>
      <x:c r="K69" s="7" t="n">
        <x:f t="shared" si="4">E69*'修订说明'!$B$2</x:f>
        <x:v>137.91363455313393</x:v>
      </x:c>
      <x:c r="L69" s="7" t="n">
        <x:f t="shared" si="5">B69*K69</x:f>
        <x:v>69.05335682075416</x:v>
      </x:c>
    </x:row>
    <x:row r="70">
      <x:c r="A70" t="s">
        <x:v>70</x:v>
      </x:c>
      <x:c r="B70" s="7" t="n">
        <x:v>0.4827</x:v>
      </x:c>
      <x:c r="C70" s="7" t="n">
        <x:v>5814.7932</x:v>
      </x:c>
      <x:c r="D70" s="7" t="n">
        <x:v>7520.7191</x:v>
      </x:c>
      <x:c r="E70" s="7" t="n">
        <x:v>1757.345107318804</x:v>
      </x:c>
      <x:c r="F70" s="7" t="n">
        <x:v>3463.271007318803</x:v>
      </x:c>
      <x:c r="G70" s="7" t="n">
        <x:v>0</x:v>
      </x:c>
      <x:c r="H70" s="7" t="n">
        <x:v>0</x:v>
      </x:c>
      <x:c r="I70" s="7" t="n">
        <x:v>3226.0688240628524</x:v>
      </x:c>
      <x:c r="J70" s="7" t="n">
        <x:v>3773.660050940507</x:v>
      </x:c>
      <x:c r="K70" s="7" t="n">
        <x:f t="shared" si="4">E70*'修订说明'!$B$2</x:f>
        <x:v>292.89085121980065</x:v>
      </x:c>
      <x:c r="L70" s="7" t="n">
        <x:f t="shared" si="5">B70*K70</x:f>
        <x:v>141.37841388379778</x:v>
      </x:c>
    </x:row>
    <x:row r="71">
      <x:c r="A71" t="s">
        <x:v>71</x:v>
      </x:c>
      <x:c r="B71" s="7" t="n">
        <x:v>0.4785</x:v>
      </x:c>
      <x:c r="C71" s="7" t="n">
        <x:v>5832.3951</x:v>
      </x:c>
      <x:c r="D71" s="7" t="n">
        <x:v>7568.2039</x:v>
      </x:c>
      <x:c r="E71" s="7" t="n">
        <x:v>2727.4622073188034</x:v>
      </x:c>
      <x:c r="F71" s="7" t="n">
        <x:v>4463.271007318786</x:v>
      </x:c>
      <x:c r="G71" s="7" t="n">
        <x:v>0</x:v>
      </x:c>
      <x:c r="H71" s="7" t="n">
        <x:v>0</x:v>
      </x:c>
      <x:c r="I71" s="7" t="n">
        <x:v>3773.660050940507</x:v>
      </x:c>
      <x:c r="J71" s="7" t="n">
        <x:v>4479.365160826581</x:v>
      </x:c>
      <x:c r="K71" s="7" t="n">
        <x:f t="shared" si="4">E71*'修订说明'!$B$2</x:f>
        <x:v>454.5770345531339</x:v>
      </x:c>
      <x:c r="L71" s="7" t="n">
        <x:f t="shared" si="5">B71*K71</x:f>
        <x:v>217.51511103367457</x:v>
      </x:c>
    </x:row>
    <x:row r="72">
      <x:c r="A72" t="s">
        <x:v>72</x:v>
      </x:c>
      <x:c r="B72" s="7" t="n">
        <x:v>0.4662</x:v>
      </x:c>
      <x:c r="C72" s="7" t="n">
        <x:v>5712.901</x:v>
      </x:c>
      <x:c r="D72" s="7" t="n">
        <x:v>7592.1539</x:v>
      </x:c>
      <x:c r="E72" s="7" t="n">
        <x:v>3120.7471000000005</x:v>
      </x:c>
      <x:c r="F72" s="7" t="n">
        <x:v>4999.9999999999945</x:v>
      </x:c>
      <x:c r="G72" s="7" t="n">
        <x:v>0</x:v>
      </x:c>
      <x:c r="H72" s="7" t="n">
        <x:v>0</x:v>
      </x:c>
      <x:c r="I72" s="7" t="n">
        <x:v>4479.365160826581</x:v>
      </x:c>
      <x:c r="J72" s="7" t="n">
        <x:v>5269.934575868676</x:v>
      </x:c>
      <x:c r="K72" s="7" t="n">
        <x:f t="shared" si="4">E72*'修订说明'!$B$2</x:f>
        <x:v>520.1245166666668</x:v>
      </x:c>
      <x:c r="L72" s="7" t="n">
        <x:f t="shared" si="5">B72*K72</x:f>
        <x:v>242.48204967000004</x:v>
      </x:c>
    </x:row>
    <x:row r="73">
      <x:c r="A73" t="s">
        <x:v>73</x:v>
      </x:c>
      <x:c r="B73" s="7" t="n">
        <x:v>0.4432</x:v>
      </x:c>
      <x:c r="C73" s="7" t="n">
        <x:v>5519.4607</x:v>
      </x:c>
      <x:c r="D73" s="7" t="n">
        <x:v>7601.0433</x:v>
      </x:c>
      <x:c r="E73" s="7" t="n">
        <x:v>2918.4174000000003</x:v>
      </x:c>
      <x:c r="F73" s="7" t="n">
        <x:v>4999.999999999991</x:v>
      </x:c>
      <x:c r="G73" s="7" t="n">
        <x:v>0</x:v>
      </x:c>
      <x:c r="H73" s="7" t="n">
        <x:v>0</x:v>
      </x:c>
      <x:c r="I73" s="7" t="n">
        <x:v>5269.934575868676</x:v>
      </x:c>
      <x:c r="J73" s="7" t="n">
        <x:v>6060.503990910771</x:v>
      </x:c>
      <x:c r="K73" s="7" t="n">
        <x:f t="shared" si="4">E73*'修订说明'!$B$2</x:f>
        <x:v>486.40290000000005</x:v>
      </x:c>
      <x:c r="L73" s="7" t="n">
        <x:f t="shared" si="5">B73*K73</x:f>
        <x:v>215.57376528</x:v>
      </x:c>
    </x:row>
    <x:row r="74">
      <x:c r="A74" t="s">
        <x:v>74</x:v>
      </x:c>
      <x:c r="B74" s="7" t="n">
        <x:v>0.4411</x:v>
      </x:c>
      <x:c r="C74" s="7" t="n">
        <x:v>5494.7907</x:v>
      </x:c>
      <x:c r="D74" s="7" t="n">
        <x:v>7612.316</x:v>
      </x:c>
      <x:c r="E74" s="7" t="n">
        <x:v>2882.474699999999</x:v>
      </x:c>
      <x:c r="F74" s="7" t="n">
        <x:v>4999.999999999975</x:v>
      </x:c>
      <x:c r="G74" s="7" t="n">
        <x:v>0</x:v>
      </x:c>
      <x:c r="H74" s="7" t="n">
        <x:v>0</x:v>
      </x:c>
      <x:c r="I74" s="7" t="n">
        <x:v>6060.503990910771</x:v>
      </x:c>
      <x:c r="J74" s="7" t="n">
        <x:v>6851.073405952866</x:v>
      </x:c>
      <x:c r="K74" s="7" t="n">
        <x:f t="shared" si="4">E74*'修订说明'!$B$2</x:f>
        <x:v>480.4124499999998</x:v>
      </x:c>
      <x:c r="L74" s="7" t="n">
        <x:f t="shared" si="5">B74*K74</x:f>
        <x:v>211.9099316949999</x:v>
      </x:c>
    </x:row>
    <x:row r="75">
      <x:c r="A75" t="s">
        <x:v>75</x:v>
      </x:c>
      <x:c r="B75" s="7" t="n">
        <x:v>0.4551</x:v>
      </x:c>
      <x:c r="C75" s="7" t="n">
        <x:v>5514.4524</x:v>
      </x:c>
      <x:c r="D75" s="7" t="n">
        <x:v>7602.6524</x:v>
      </x:c>
      <x:c r="E75" s="7" t="n">
        <x:v>2911.7999999999993</x:v>
      </x:c>
      <x:c r="F75" s="7" t="n">
        <x:v>4999.999999999872</x:v>
      </x:c>
      <x:c r="G75" s="7" t="n">
        <x:v>0</x:v>
      </x:c>
      <x:c r="H75" s="7" t="n">
        <x:v>0</x:v>
      </x:c>
      <x:c r="I75" s="7" t="n">
        <x:v>6851.073405952866</x:v>
      </x:c>
      <x:c r="J75" s="7" t="n">
        <x:v>7641.642820994963</x:v>
      </x:c>
      <x:c r="K75" s="7" t="n">
        <x:f t="shared" si="4">E75*'修订说明'!$B$2</x:f>
        <x:v>485.29999999999984</x:v>
      </x:c>
      <x:c r="L75" s="7" t="n">
        <x:f t="shared" si="5">B75*K75</x:f>
        <x:v>220.86002999999994</x:v>
      </x:c>
    </x:row>
    <x:row r="76">
      <x:c r="A76" t="s">
        <x:v>76</x:v>
      </x:c>
      <x:c r="B76" s="7" t="n">
        <x:v>0.4463</x:v>
      </x:c>
      <x:c r="C76" s="7" t="n">
        <x:v>5485.829</x:v>
      </x:c>
      <x:c r="D76" s="7" t="n">
        <x:v>7554.1872</x:v>
      </x:c>
      <x:c r="E76" s="7" t="n">
        <x:v>2518.6848999999993</x:v>
      </x:c>
      <x:c r="F76" s="7" t="n">
        <x:v>4587.043099999978</x:v>
      </x:c>
      <x:c r="G76" s="7" t="n">
        <x:v>0</x:v>
      </x:c>
      <x:c r="H76" s="7" t="n">
        <x:v>0</x:v>
      </x:c>
      <x:c r="I76" s="7" t="n">
        <x:v>7641.642820994963</x:v>
      </x:c>
      <x:c r="J76" s="7" t="n">
        <x:v>8366.918017062939</x:v>
      </x:c>
      <x:c r="K76" s="7" t="n">
        <x:f t="shared" si="4">E76*'修订说明'!$B$2</x:f>
        <x:v>419.7808166666665</x:v>
      </x:c>
      <x:c r="L76" s="7" t="n">
        <x:f t="shared" si="5">B76*K76</x:f>
        <x:v>187.34817847833324</x:v>
      </x:c>
    </x:row>
    <x:row r="77">
      <x:c r="A77" t="s">
        <x:v>77</x:v>
      </x:c>
      <x:c r="B77" s="7" t="n">
        <x:v>0.4113</x:v>
      </x:c>
      <x:c r="C77" s="7" t="n">
        <x:v>5462.3628</x:v>
      </x:c>
      <x:c r="D77" s="7" t="n">
        <x:v>7472.7384</x:v>
      </x:c>
      <x:c r="E77" s="7" t="n">
        <x:v>1576.6674999999996</x:v>
      </x:c>
      <x:c r="F77" s="7" t="n">
        <x:v>3587.0430999999094</x:v>
      </x:c>
      <x:c r="G77" s="7" t="n">
        <x:v>0</x:v>
      </x:c>
      <x:c r="H77" s="7" t="n">
        <x:v>0</x:v>
      </x:c>
      <x:c r="I77" s="7" t="n">
        <x:v>8366.918017062939</x:v>
      </x:c>
      <x:c r="J77" s="7" t="n">
        <x:v>8934.079330122497</x:v>
      </x:c>
      <x:c r="K77" s="7" t="n">
        <x:f t="shared" si="4">E77*'修订说明'!$B$2</x:f>
        <x:v>262.77791666666656</x:v>
      </x:c>
      <x:c r="L77" s="7" t="n">
        <x:f t="shared" si="5">B77*K77</x:f>
        <x:v>108.08055712499996</x:v>
      </x:c>
    </x:row>
    <x:row r="78">
      <x:c r="A78" t="s">
        <x:v>78</x:v>
      </x:c>
      <x:c r="B78" s="7" t="n">
        <x:v>0.5682</x:v>
      </x:c>
      <x:c r="C78" s="7" t="n">
        <x:v>5566.1066</x:v>
      </x:c>
      <x:c r="D78" s="7" t="n">
        <x:v>7393.4172</x:v>
      </x:c>
      <x:c r="E78" s="7" t="n">
        <x:v>759.7325000000001</x:v>
      </x:c>
      <x:c r="F78" s="7" t="n">
        <x:v>2587.0430999999135</x:v>
      </x:c>
      <x:c r="G78" s="7" t="n">
        <x:v>0</x:v>
      </x:c>
      <x:c r="H78" s="7" t="n">
        <x:v>0</x:v>
      </x:c>
      <x:c r="I78" s="7" t="n">
        <x:v>8934.079330122497</x:v>
      </x:c>
      <x:c r="J78" s="7" t="n">
        <x:v>9343.126760173636</x:v>
      </x:c>
      <x:c r="K78" s="7" t="n">
        <x:f t="shared" si="4">E78*'修订说明'!$B$2</x:f>
        <x:v>126.62208333333334</x:v>
      </x:c>
      <x:c r="L78" s="7" t="n">
        <x:f t="shared" si="5">B78*K78</x:f>
        <x:v>71.94666775</x:v>
      </x:c>
    </x:row>
    <x:row r="79">
      <x:c r="A79" t="s">
        <x:v>79</x:v>
      </x:c>
      <x:c r="B79" s="7" t="n">
        <x:v>0.8279</x:v>
      </x:c>
      <x:c r="C79" s="7" t="n">
        <x:v>5725.7548</x:v>
      </x:c>
      <x:c r="D79" s="7" t="n">
        <x:v>7312.7979</x:v>
      </x:c>
      <x:c r="E79" s="7" t="n">
        <x:v>0</x:v>
      </x:c>
      <x:c r="F79" s="7" t="n">
        <x:v>1587.0430999999062</x:v>
      </x:c>
      <x:c r="G79" s="7" t="n">
        <x:v>0</x:v>
      </x:c>
      <x:c r="H79" s="7" t="n">
        <x:v>0</x:v>
      </x:c>
      <x:c r="I79" s="7" t="n">
        <x:v>9343.126760173636</x:v>
      </x:c>
      <x:c r="J79" s="7" t="n">
        <x:v>9594.060307216356</x:v>
      </x:c>
      <x:c r="K79" s="7" t="n">
        <x:f t="shared" si="4">E79*'修订说明'!$B$2</x:f>
        <x:v>0</x:v>
      </x:c>
      <x:c r="L79" s="7" t="n">
        <x:f t="shared" si="5">B79*K79</x:f>
        <x:v>0</x:v>
      </x:c>
    </x:row>
    <x:row r="80">
      <x:c r="A80" t="s">
        <x:v>80</x:v>
      </x:c>
      <x:c r="B80" s="7" t="n">
        <x:v>0.8636</x:v>
      </x:c>
      <x:c r="C80" s="7" t="n">
        <x:v>5739.4957</x:v>
      </x:c>
      <x:c r="D80" s="7" t="n">
        <x:v>7194.541</x:v>
      </x:c>
      <x:c r="E80" s="7" t="n">
        <x:v>0</x:v>
      </x:c>
      <x:c r="F80" s="7" t="n">
        <x:v>1455.0452999998233</x:v>
      </x:c>
      <x:c r="G80" s="7" t="n">
        <x:v>0</x:v>
      </x:c>
      <x:c r="H80" s="7" t="n">
        <x:v>0</x:v>
      </x:c>
      <x:c r="I80" s="7" t="n">
        <x:v>9594.060307216356</x:v>
      </x:c>
      <x:c r="J80" s="7" t="n">
        <x:v>9824.12316955251</x:v>
      </x:c>
      <x:c r="K80" s="7" t="n">
        <x:f t="shared" si="4">E80*'修订说明'!$B$2</x:f>
        <x:v>0</x:v>
      </x:c>
      <x:c r="L80" s="7" t="n">
        <x:f t="shared" si="5">B80*K80</x:f>
        <x:v>0</x:v>
      </x:c>
    </x:row>
    <x:row r="81">
      <x:c r="A81" t="s">
        <x:v>81</x:v>
      </x:c>
      <x:c r="B81" s="7" t="n">
        <x:v>0.8416</x:v>
      </x:c>
      <x:c r="C81" s="7" t="n">
        <x:v>5714.6836</x:v>
      </x:c>
      <x:c r="D81" s="7" t="n">
        <x:v>7053.1371</x:v>
      </x:c>
      <x:c r="E81" s="7" t="n">
        <x:v>0</x:v>
      </x:c>
      <x:c r="F81" s="7" t="n">
        <x:v>1338.4534999998966</x:v>
      </x:c>
      <x:c r="G81" s="7" t="n">
        <x:v>0</x:v>
      </x:c>
      <x:c r="H81" s="7" t="n">
        <x:v>0</x:v>
      </x:c>
      <x:c r="I81" s="7" t="n">
        <x:v>9824.12316955251</x:v>
      </x:c>
      <x:c r="J81" s="7" t="n">
        <x:v>10035.75124966372</x:v>
      </x:c>
      <x:c r="K81" s="7" t="n">
        <x:f t="shared" si="4">E81*'修订说明'!$B$2</x:f>
        <x:v>0</x:v>
      </x:c>
      <x:c r="L81" s="7" t="n">
        <x:f t="shared" si="5">B81*K81</x:f>
        <x:v>0</x:v>
      </x:c>
    </x:row>
    <x:row r="82">
      <x:c r="A82" t="s">
        <x:v>82</x:v>
      </x:c>
      <x:c r="B82" s="7" t="n">
        <x:v>0.8618</x:v>
      </x:c>
      <x:c r="C82" s="7" t="n">
        <x:v>5717.8505</x:v>
      </x:c>
      <x:c r="D82" s="7" t="n">
        <x:v>6910.4064</x:v>
      </x:c>
      <x:c r="E82" s="7" t="n">
        <x:v>0</x:v>
      </x:c>
      <x:c r="F82" s="7" t="n">
        <x:v>1192.555899999883</x:v>
      </x:c>
      <x:c r="G82" s="7" t="n">
        <x:v>0</x:v>
      </x:c>
      <x:c r="H82" s="7" t="n">
        <x:v>0</x:v>
      </x:c>
      <x:c r="I82" s="7" t="n">
        <x:v>10035.75124966372</x:v>
      </x:c>
      <x:c r="J82" s="7" t="n">
        <x:v>10224.310893717322</x:v>
      </x:c>
      <x:c r="K82" s="7" t="n">
        <x:f t="shared" si="4">E82*'修订说明'!$B$2</x:f>
        <x:v>0</x:v>
      </x:c>
      <x:c r="L82" s="7" t="n">
        <x:f t="shared" si="5">B82*K82</x:f>
        <x:v>0</x:v>
      </x:c>
    </x:row>
    <x:row r="83">
      <x:c r="A83" t="s">
        <x:v>83</x:v>
      </x:c>
      <x:c r="B83" s="7" t="n">
        <x:v>0.8623</x:v>
      </x:c>
      <x:c r="C83" s="7" t="n">
        <x:v>5708.2486</x:v>
      </x:c>
      <x:c r="D83" s="7" t="n">
        <x:v>6772.4075</x:v>
      </x:c>
      <x:c r="E83" s="7" t="n">
        <x:v>0</x:v>
      </x:c>
      <x:c r="F83" s="7" t="n">
        <x:v>1064.1589000001159</x:v>
      </x:c>
      <x:c r="G83" s="7" t="n">
        <x:v>0</x:v>
      </x:c>
      <x:c r="H83" s="7" t="n">
        <x:v>0</x:v>
      </x:c>
      <x:c r="I83" s="7" t="n">
        <x:v>10224.310893717322</x:v>
      </x:c>
      <x:c r="J83" s="7" t="n">
        <x:v>10392.569189534288</x:v>
      </x:c>
      <x:c r="K83" s="7" t="n">
        <x:f t="shared" si="4">E83*'修订说明'!$B$2</x:f>
        <x:v>0</x:v>
      </x:c>
      <x:c r="L83" s="7" t="n">
        <x:f t="shared" si="5">B83*K83</x:f>
        <x:v>0</x:v>
      </x:c>
    </x:row>
    <x:row r="84">
      <x:c r="A84" t="s">
        <x:v>84</x:v>
      </x:c>
      <x:c r="B84" s="7" t="n">
        <x:v>0.9026</x:v>
      </x:c>
      <x:c r="C84" s="7" t="n">
        <x:v>5696.9182</x:v>
      </x:c>
      <x:c r="D84" s="7" t="n">
        <x:v>6607.36</x:v>
      </x:c>
      <x:c r="E84" s="7" t="n">
        <x:v>0</x:v>
      </x:c>
      <x:c r="F84" s="7" t="n">
        <x:v>910.4417999998888</x:v>
      </x:c>
      <x:c r="G84" s="7" t="n">
        <x:v>0</x:v>
      </x:c>
      <x:c r="H84" s="7" t="n">
        <x:v>0</x:v>
      </x:c>
      <x:c r="I84" s="7" t="n">
        <x:v>10392.569189534288</x:v>
      </x:c>
      <x:c r="J84" s="7" t="n">
        <x:v>10536.522677785464</x:v>
      </x:c>
      <x:c r="K84" s="7" t="n">
        <x:f t="shared" si="4">E84*'修订说明'!$B$2</x:f>
        <x:v>0</x:v>
      </x:c>
      <x:c r="L84" s="7" t="n">
        <x:f t="shared" si="5">B84*K84</x:f>
        <x:v>0</x:v>
      </x:c>
    </x:row>
    <x:row r="85">
      <x:c r="A85" t="s">
        <x:v>85</x:v>
      </x:c>
      <x:c r="B85" s="7" t="n">
        <x:v>0.9754</x:v>
      </x:c>
      <x:c r="C85" s="7" t="n">
        <x:v>5692.2983</x:v>
      </x:c>
      <x:c r="D85" s="7" t="n">
        <x:v>6412.5085</x:v>
      </x:c>
      <x:c r="E85" s="7" t="n">
        <x:v>0</x:v>
      </x:c>
      <x:c r="F85" s="7" t="n">
        <x:v>720.2101999999825</x:v>
      </x:c>
      <x:c r="G85" s="7" t="n">
        <x:v>0</x:v>
      </x:c>
      <x:c r="H85" s="7" t="n">
        <x:v>0</x:v>
      </x:c>
      <x:c r="I85" s="7" t="n">
        <x:v>10536.522677785464</x:v>
      </x:c>
      <x:c r="J85" s="7" t="n">
        <x:v>10650.397909089734</x:v>
      </x:c>
      <x:c r="K85" s="7" t="n">
        <x:f t="shared" si="4">E85*'修订说明'!$B$2</x:f>
        <x:v>0</x:v>
      </x:c>
      <x:c r="L85" s="7" t="n">
        <x:f t="shared" si="5">B85*K85</x:f>
        <x:v>0</x:v>
      </x:c>
    </x:row>
    <x:row r="86">
      <x:c r="A86" t="s">
        <x:v>86</x:v>
      </x:c>
      <x:c r="B86" s="7" t="n">
        <x:v>1.0002</x:v>
      </x:c>
      <x:c r="C86" s="7" t="n">
        <x:v>5687.1291</x:v>
      </x:c>
      <x:c r="D86" s="7" t="n">
        <x:v>6214.0158</x:v>
      </x:c>
      <x:c r="E86" s="7" t="n">
        <x:v>0</x:v>
      </x:c>
      <x:c r="F86" s="7" t="n">
        <x:v>526.8867000000041</x:v>
      </x:c>
      <x:c r="G86" s="7" t="n">
        <x:v>0</x:v>
      </x:c>
      <x:c r="H86" s="7" t="n">
        <x:v>0</x:v>
      </x:c>
      <x:c r="I86" s="7" t="n">
        <x:v>10650.397909089734</x:v>
      </x:c>
      <x:c r="J86" s="7" t="n">
        <x:v>10733.706011132226</x:v>
      </x:c>
      <x:c r="K86" s="7" t="n">
        <x:f t="shared" si="4">E86*'修订说明'!$B$2</x:f>
        <x:v>0</x:v>
      </x:c>
      <x:c r="L86" s="7" t="n">
        <x:f t="shared" si="5">B86*K86</x:f>
        <x:v>0</x:v>
      </x:c>
    </x:row>
    <x:row r="87">
      <x:c r="A87" t="s">
        <x:v>87</x:v>
      </x:c>
      <x:c r="B87" s="7" t="n">
        <x:v>0.9978</x:v>
      </x:c>
      <x:c r="C87" s="7" t="n">
        <x:v>5678.962</x:v>
      </x:c>
      <x:c r="D87" s="7" t="n">
        <x:v>6000.7112</x:v>
      </x:c>
      <x:c r="E87" s="7" t="n">
        <x:v>0</x:v>
      </x:c>
      <x:c r="F87" s="7" t="n">
        <x:v>321.7491999999308</x:v>
      </x:c>
      <x:c r="G87" s="7" t="n">
        <x:v>0</x:v>
      </x:c>
      <x:c r="H87" s="7" t="n">
        <x:v>0</x:v>
      </x:c>
      <x:c r="I87" s="7" t="n">
        <x:v>10733.706011132226</x:v>
      </x:c>
      <x:c r="J87" s="7" t="n">
        <x:v>10784.57902649908</x:v>
      </x:c>
      <x:c r="K87" s="7" t="n">
        <x:f t="shared" si="4">E87*'修订说明'!$B$2</x:f>
        <x:v>0</x:v>
      </x:c>
      <x:c r="L87" s="7" t="n">
        <x:f t="shared" si="5">B87*K87</x:f>
        <x:v>0</x:v>
      </x:c>
    </x:row>
    <x:row r="88">
      <x:c r="A88" t="s">
        <x:v>88</x:v>
      </x:c>
      <x:c r="B88" s="7" t="n">
        <x:v>1.0271</x:v>
      </x:c>
      <x:c r="C88" s="7" t="n">
        <x:v>5669.4508</x:v>
      </x:c>
      <x:c r="D88" s="7" t="n">
        <x:v>5766.9816</x:v>
      </x:c>
      <x:c r="E88" s="7" t="n">
        <x:v>0</x:v>
      </x:c>
      <x:c r="F88" s="7" t="n">
        <x:v>97.53080000003129</x:v>
      </x:c>
      <x:c r="G88" s="7" t="n">
        <x:v>0</x:v>
      </x:c>
      <x:c r="H88" s="7" t="n">
        <x:v>0</x:v>
      </x:c>
      <x:c r="I88" s="7" t="n">
        <x:v>10784.57902649908</x:v>
      </x:c>
      <x:c r="J88" s="7" t="n">
        <x:v>10799.999999999996</x:v>
      </x:c>
      <x:c r="K88" s="7" t="n">
        <x:f t="shared" si="4">E88*'修订说明'!$B$2</x:f>
        <x:v>0</x:v>
      </x:c>
      <x:c r="L88" s="7" t="n">
        <x:f t="shared" si="5">B88*K88</x:f>
        <x:v>0</x:v>
      </x:c>
    </x:row>
    <x:row r="89">
      <x:c r="A89" t="s">
        <x:v>89</x:v>
      </x:c>
      <x:c r="B89" s="7" t="n">
        <x:v>1.0906</x:v>
      </x:c>
      <x:c r="C89" s="7" t="n">
        <x:v>5664.1948</x:v>
      </x:c>
      <x:c r="D89" s="7" t="n">
        <x:v>5521.5066</x:v>
      </x:c>
      <x:c r="E89" s="7" t="n">
        <x:v>142.6882000000005</x:v>
      </x:c>
      <x:c r="F89" s="7" t="n">
        <x:v>0</x:v>
      </x:c>
      <x:c r="G89" s="7" t="n">
        <x:v>0</x:v>
      </x:c>
      <x:c r="H89" s="7" t="n">
        <x:v>0</x:v>
      </x:c>
      <x:c r="I89" s="7" t="n">
        <x:v>10799.999999999996</x:v>
      </x:c>
      <x:c r="J89" s="7" t="n">
        <x:v>10799.999999999998</x:v>
      </x:c>
      <x:c r="K89" s="7" t="n">
        <x:f t="shared" si="4">E89*'修订说明'!$B$2</x:f>
        <x:v>23.78136666666675</x:v>
      </x:c>
      <x:c r="L89" s="7" t="n">
        <x:f t="shared" si="5">B89*K89</x:f>
        <x:v>25.935958486666756</x:v>
      </x:c>
    </x:row>
    <x:row r="90">
      <x:c r="A90" t="s">
        <x:v>90</x:v>
      </x:c>
      <x:c r="B90" s="7" t="n">
        <x:v>0.9376</x:v>
      </x:c>
      <x:c r="C90" s="7" t="n">
        <x:v>5672.7011</x:v>
      </x:c>
      <x:c r="D90" s="7" t="n">
        <x:v>5268.781</x:v>
      </x:c>
      <x:c r="E90" s="7" t="n">
        <x:v>403.9201000000003</x:v>
      </x:c>
      <x:c r="F90" s="7" t="n">
        <x:v>0</x:v>
      </x:c>
      <x:c r="G90" s="7" t="n">
        <x:v>0</x:v>
      </x:c>
      <x:c r="H90" s="7" t="n">
        <x:v>0</x:v>
      </x:c>
      <x:c r="I90" s="7" t="n">
        <x:v>10799.999999999998</x:v>
      </x:c>
      <x:c r="J90" s="7" t="n">
        <x:v>10799.999999999998</x:v>
      </x:c>
      <x:c r="K90" s="7" t="n">
        <x:f t="shared" si="4">E90*'修订说明'!$B$2</x:f>
        <x:v>67.3200166666667</x:v>
      </x:c>
      <x:c r="L90" s="7" t="n">
        <x:f t="shared" si="5">B90*K90</x:f>
        <x:v>63.1192476266667</x:v>
      </x:c>
    </x:row>
    <x:row r="91">
      <x:c r="A91" t="s">
        <x:v>91</x:v>
      </x:c>
      <x:c r="B91" s="7" t="n">
        <x:v>0.6694</x:v>
      </x:c>
      <x:c r="C91" s="7" t="n">
        <x:v>5682.2544</x:v>
      </x:c>
      <x:c r="D91" s="7" t="n">
        <x:v>5009.7152</x:v>
      </x:c>
      <x:c r="E91" s="7" t="n">
        <x:v>672.5392000000002</x:v>
      </x:c>
      <x:c r="F91" s="7" t="n">
        <x:v>0</x:v>
      </x:c>
      <x:c r="G91" s="7" t="n">
        <x:v>0</x:v>
      </x:c>
      <x:c r="H91" s="7" t="n">
        <x:v>0</x:v>
      </x:c>
      <x:c r="I91" s="7" t="n">
        <x:v>10799.999999999998</x:v>
      </x:c>
      <x:c r="J91" s="7" t="n">
        <x:v>10799.999999999998</x:v>
      </x:c>
      <x:c r="K91" s="7" t="n">
        <x:f t="shared" si="4">E91*'修订说明'!$B$2</x:f>
        <x:v>112.0898666666667</x:v>
      </x:c>
      <x:c r="L91" s="7" t="n">
        <x:f t="shared" si="5">B91*K91</x:f>
        <x:v>75.03295674666668</x:v>
      </x:c>
    </x:row>
    <x:row r="92">
      <x:c r="A92" t="s">
        <x:v>92</x:v>
      </x:c>
      <x:c r="B92" s="7" t="n">
        <x:v>0.66</x:v>
      </x:c>
      <x:c r="C92" s="7" t="n">
        <x:v>5669.0195</x:v>
      </x:c>
      <x:c r="D92" s="7" t="n">
        <x:v>4743.4484</x:v>
      </x:c>
      <x:c r="E92" s="7" t="n">
        <x:v>925.5711</x:v>
      </x:c>
      <x:c r="F92" s="7" t="n">
        <x:v>0</x:v>
      </x:c>
      <x:c r="G92" s="7" t="n">
        <x:v>0</x:v>
      </x:c>
      <x:c r="H92" s="7" t="n">
        <x:v>0</x:v>
      </x:c>
      <x:c r="I92" s="7" t="n">
        <x:v>10799.999999999998</x:v>
      </x:c>
      <x:c r="J92" s="7" t="n">
        <x:v>10799.999999999998</x:v>
      </x:c>
      <x:c r="K92" s="7" t="n">
        <x:f t="shared" si="4">E92*'修订说明'!$B$2</x:f>
        <x:v>154.26184999999998</x:v>
      </x:c>
      <x:c r="L92" s="7" t="n">
        <x:f t="shared" si="5">B92*K92</x:f>
        <x:v>101.81282099999999</x:v>
      </x:c>
    </x:row>
    <x:row r="93">
      <x:c r="A93" t="s">
        <x:v>93</x:v>
      </x:c>
      <x:c r="B93" s="7" t="n">
        <x:v>0.7217</x:v>
      </x:c>
      <x:c r="C93" s="7" t="n">
        <x:v>5656.3651</x:v>
      </x:c>
      <x:c r="D93" s="7" t="n">
        <x:v>4471.224</x:v>
      </x:c>
      <x:c r="E93" s="7" t="n">
        <x:v>1185.1410999999998</x:v>
      </x:c>
      <x:c r="F93" s="7" t="n">
        <x:v>0</x:v>
      </x:c>
      <x:c r="G93" s="7" t="n">
        <x:v>0</x:v>
      </x:c>
      <x:c r="H93" s="7" t="n">
        <x:v>0</x:v>
      </x:c>
      <x:c r="I93" s="7" t="n">
        <x:v>10799.999999999998</x:v>
      </x:c>
      <x:c r="J93" s="7" t="n">
        <x:v>10799.999999999998</x:v>
      </x:c>
      <x:c r="K93" s="7" t="n">
        <x:f t="shared" si="4">E93*'修订说明'!$B$2</x:f>
        <x:v>197.52351666666664</x:v>
      </x:c>
      <x:c r="L93" s="7" t="n">
        <x:f t="shared" si="5">B93*K93</x:f>
        <x:v>142.55272197833332</x:v>
      </x:c>
    </x:row>
    <x:row r="94">
      <x:c r="A94" t="s">
        <x:v>94</x:v>
      </x:c>
      <x:c r="B94" s="7" t="n">
        <x:v>0.7308</x:v>
      </x:c>
      <x:c r="C94" s="7" t="n">
        <x:v>5657.0867</x:v>
      </x:c>
      <x:c r="D94" s="7" t="n">
        <x:v>4188.2025</x:v>
      </x:c>
      <x:c r="E94" s="7" t="n">
        <x:v>1468.8841999999995</x:v>
      </x:c>
      <x:c r="F94" s="7" t="n">
        <x:v>0</x:v>
      </x:c>
      <x:c r="G94" s="7" t="n">
        <x:v>0</x:v>
      </x:c>
      <x:c r="H94" s="7" t="n">
        <x:v>0</x:v>
      </x:c>
      <x:c r="I94" s="7" t="n">
        <x:v>10799.999999999998</x:v>
      </x:c>
      <x:c r="J94" s="7" t="n">
        <x:v>10799.999999999998</x:v>
      </x:c>
      <x:c r="K94" s="7" t="n">
        <x:f t="shared" si="4">E94*'修订说明'!$B$2</x:f>
        <x:v>244.81403333333324</x:v>
      </x:c>
      <x:c r="L94" s="7" t="n">
        <x:f t="shared" si="5">B94*K94</x:f>
        <x:v>178.91009555999995</x:v>
      </x:c>
    </x:row>
    <x:row r="95">
      <x:c r="A95" t="s">
        <x:v>95</x:v>
      </x:c>
      <x:c r="B95" s="7" t="n">
        <x:v>0.7534</x:v>
      </x:c>
      <x:c r="C95" s="7" t="n">
        <x:v>5662.6008</x:v>
      </x:c>
      <x:c r="D95" s="7" t="n">
        <x:v>3889.3931</x:v>
      </x:c>
      <x:c r="E95" s="7" t="n">
        <x:v>1773.2076999999983</x:v>
      </x:c>
      <x:c r="F95" s="7" t="n">
        <x:v>0</x:v>
      </x:c>
      <x:c r="G95" s="7" t="n">
        <x:v>0</x:v>
      </x:c>
      <x:c r="H95" s="7" t="n">
        <x:v>0</x:v>
      </x:c>
      <x:c r="I95" s="7" t="n">
        <x:v>10799.999999999998</x:v>
      </x:c>
      <x:c r="J95" s="7" t="n">
        <x:v>10799.999999999998</x:v>
      </x:c>
      <x:c r="K95" s="7" t="n">
        <x:f t="shared" si="4">E95*'修订说明'!$B$2</x:f>
        <x:v>295.53461666666635</x:v>
      </x:c>
      <x:c r="L95" s="7" t="n">
        <x:f t="shared" si="5">B95*K95</x:f>
        <x:v>222.65578019666643</x:v>
      </x:c>
    </x:row>
    <x:row r="96">
      <x:c r="A96" t="s">
        <x:v>96</x:v>
      </x:c>
      <x:c r="B96" s="7" t="n">
        <x:v>0.7823</x:v>
      </x:c>
      <x:c r="C96" s="7" t="n">
        <x:v>5669.2596</x:v>
      </x:c>
      <x:c r="D96" s="7" t="n">
        <x:v>3594.5946</x:v>
      </x:c>
      <x:c r="E96" s="7" t="n">
        <x:v>2074.6650000000004</x:v>
      </x:c>
      <x:c r="F96" s="7" t="n">
        <x:v>0</x:v>
      </x:c>
      <x:c r="G96" s="7" t="n">
        <x:v>0</x:v>
      </x:c>
      <x:c r="H96" s="7" t="n">
        <x:v>0</x:v>
      </x:c>
      <x:c r="I96" s="7" t="n">
        <x:v>10799.999999999998</x:v>
      </x:c>
      <x:c r="J96" s="7" t="n">
        <x:v>10799.999999999998</x:v>
      </x:c>
      <x:c r="K96" s="7" t="n">
        <x:f t="shared" si="4">E96*'修订说明'!$B$2</x:f>
        <x:v>345.77750000000003</x:v>
      </x:c>
      <x:c r="L96" s="7" t="n">
        <x:f t="shared" si="5">B96*K96</x:f>
        <x:v>270.50173825</x:v>
      </x:c>
    </x:row>
    <x:row r="97">
      <x:c r="A97" t="s">
        <x:v>97</x:v>
      </x:c>
      <x:c r="B97" s="7" t="n">
        <x:v>0.8055</x:v>
      </x:c>
      <x:c r="C97" s="7" t="n">
        <x:v>5673.4767</x:v>
      </x:c>
      <x:c r="D97" s="7" t="n">
        <x:v>3303.8878</x:v>
      </x:c>
      <x:c r="E97" s="7" t="n">
        <x:v>2369.5889</x:v>
      </x:c>
      <x:c r="F97" s="7" t="n">
        <x:v>0</x:v>
      </x:c>
      <x:c r="G97" s="7" t="n">
        <x:v>0</x:v>
      </x:c>
      <x:c r="H97" s="7" t="n">
        <x:v>0</x:v>
      </x:c>
      <x:c r="I97" s="7" t="n">
        <x:v>10799.999999999998</x:v>
      </x:c>
      <x:c r="J97" s="7" t="n">
        <x:v>10799.999999999998</x:v>
      </x:c>
      <x:c r="K97" s="7" t="n">
        <x:f t="shared" si="4">E97*'修订说明'!$B$2</x:f>
        <x:v>394.93148333333335</x:v>
      </x:c>
      <x:c r="L97" s="7" t="n">
        <x:f t="shared" si="5">B97*K97</x:f>
        <x:v>318.117309825</x:v>
      </x:c>
    </x:row>
    <x:row r="98">
      <x:c r="A98" t="s">
        <x:v>98</x:v>
      </x:c>
      <x:c r="B98" s="7" t="n">
        <x:v>0.8271</x:v>
      </x:c>
      <x:c r="C98" s="7" t="n">
        <x:v>5671.0146</x:v>
      </x:c>
      <x:c r="D98" s="7" t="n">
        <x:v>2998.4247</x:v>
      </x:c>
      <x:c r="E98" s="7" t="n">
        <x:v>2672.5899</x:v>
      </x:c>
      <x:c r="F98" s="7" t="n">
        <x:v>0</x:v>
      </x:c>
      <x:c r="G98" s="7" t="n">
        <x:v>0</x:v>
      </x:c>
      <x:c r="H98" s="7" t="n">
        <x:v>0</x:v>
      </x:c>
      <x:c r="I98" s="7" t="n">
        <x:v>10799.999999999998</x:v>
      </x:c>
      <x:c r="J98" s="7" t="n">
        <x:v>10799.999999999998</x:v>
      </x:c>
      <x:c r="K98" s="7" t="n">
        <x:f t="shared" ref="K98:K129" si="6">E98*'修订说明'!$B$2</x:f>
        <x:v>445.43165</x:v>
      </x:c>
      <x:c r="L98" s="7" t="n">
        <x:f t="shared" ref="L98:L129" si="7">B98*K98</x:f>
        <x:v>368.41651771499994</x:v>
      </x:c>
    </x:row>
    <x:row r="99">
      <x:c r="A99" t="s">
        <x:v>99</x:v>
      </x:c>
      <x:c r="B99" s="7" t="n">
        <x:v>0.8519</x:v>
      </x:c>
      <x:c r="C99" s="7" t="n">
        <x:v>5661.5926</x:v>
      </x:c>
      <x:c r="D99" s="7" t="n">
        <x:v>2687.4131</x:v>
      </x:c>
      <x:c r="E99" s="7" t="n">
        <x:v>2974.1794999999993</x:v>
      </x:c>
      <x:c r="F99" s="7" t="n">
        <x:v>0</x:v>
      </x:c>
      <x:c r="G99" s="7" t="n">
        <x:v>0</x:v>
      </x:c>
      <x:c r="H99" s="7" t="n">
        <x:v>0</x:v>
      </x:c>
      <x:c r="I99" s="7" t="n">
        <x:v>10799.999999999998</x:v>
      </x:c>
      <x:c r="J99" s="7" t="n">
        <x:v>10799.999999999998</x:v>
      </x:c>
      <x:c r="K99" s="7" t="n">
        <x:f t="shared" si="6">E99*'修订说明'!$B$2</x:f>
        <x:v>495.6965833333332</x:v>
      </x:c>
      <x:c r="L99" s="7" t="n">
        <x:f t="shared" si="7">B99*K99</x:f>
        <x:v>422.28391934166655</x:v>
      </x:c>
    </x:row>
    <x:row r="100">
      <x:c r="A100" t="s">
        <x:v>100</x:v>
      </x:c>
      <x:c r="B100" s="7" t="n">
        <x:v>0.8791</x:v>
      </x:c>
      <x:c r="C100" s="7" t="n">
        <x:v>5665.8922</x:v>
      </x:c>
      <x:c r="D100" s="7" t="n">
        <x:v>2383.1779</x:v>
      </x:c>
      <x:c r="E100" s="7" t="n">
        <x:v>3282.7143000000037</x:v>
      </x:c>
      <x:c r="F100" s="7" t="n">
        <x:v>0</x:v>
      </x:c>
      <x:c r="G100" s="7" t="n">
        <x:v>0</x:v>
      </x:c>
      <x:c r="H100" s="7" t="n">
        <x:v>0</x:v>
      </x:c>
      <x:c r="I100" s="7" t="n">
        <x:v>10799.999999999998</x:v>
      </x:c>
      <x:c r="J100" s="7" t="n">
        <x:v>10799.999999999998</x:v>
      </x:c>
      <x:c r="K100" s="7" t="n">
        <x:f t="shared" si="6">E100*'修订说明'!$B$2</x:f>
        <x:v>547.1190500000006</x:v>
      </x:c>
      <x:c r="L100" s="7" t="n">
        <x:f t="shared" si="7">B100*K100</x:f>
        <x:v>480.9723568550005</x:v>
      </x:c>
    </x:row>
    <x:row r="101">
      <x:c r="A101" t="s">
        <x:v>101</x:v>
      </x:c>
      <x:c r="B101" s="7" t="n">
        <x:v>0.9024</x:v>
      </x:c>
      <x:c r="C101" s="7" t="n">
        <x:v>5689.0372</x:v>
      </x:c>
      <x:c r="D101" s="7" t="n">
        <x:v>2089.1246</x:v>
      </x:c>
      <x:c r="E101" s="7" t="n">
        <x:v>3599.9126000000033</x:v>
      </x:c>
      <x:c r="F101" s="7" t="n">
        <x:v>0</x:v>
      </x:c>
      <x:c r="G101" s="7" t="n">
        <x:v>0</x:v>
      </x:c>
      <x:c r="H101" s="7" t="n">
        <x:v>0</x:v>
      </x:c>
      <x:c r="I101" s="7" t="n">
        <x:v>10799.999999999998</x:v>
      </x:c>
      <x:c r="J101" s="7" t="n">
        <x:v>10799.999999999998</x:v>
      </x:c>
      <x:c r="K101" s="7" t="n">
        <x:f t="shared" si="6">E101*'修订说明'!$B$2</x:f>
        <x:v>599.9854333333338</x:v>
      </x:c>
      <x:c r="L101" s="7" t="n">
        <x:f t="shared" si="7">B101*K101</x:f>
        <x:v>541.4268550400004</x:v>
      </x:c>
    </x:row>
    <x:row r="102">
      <x:c r="A102" t="s">
        <x:v>102</x:v>
      </x:c>
      <x:c r="B102" s="7" t="n">
        <x:v>0.9163</x:v>
      </x:c>
      <x:c r="C102" s="7" t="n">
        <x:v>5603.6614</x:v>
      </x:c>
      <x:c r="D102" s="7" t="n">
        <x:v>1791.0829</x:v>
      </x:c>
      <x:c r="E102" s="7" t="n">
        <x:v>3812.578499999999</x:v>
      </x:c>
      <x:c r="F102" s="7" t="n">
        <x:v>0</x:v>
      </x:c>
      <x:c r="G102" s="7" t="n">
        <x:v>0</x:v>
      </x:c>
      <x:c r="H102" s="7" t="n">
        <x:v>0</x:v>
      </x:c>
      <x:c r="I102" s="7" t="n">
        <x:v>10799.999999999998</x:v>
      </x:c>
      <x:c r="J102" s="7" t="n">
        <x:v>10799.999999999998</x:v>
      </x:c>
      <x:c r="K102" s="7" t="n">
        <x:f t="shared" si="6">E102*'修订说明'!$B$2</x:f>
        <x:v>635.4297499999998</x:v>
      </x:c>
      <x:c r="L102" s="7" t="n">
        <x:f t="shared" si="7">B102*K102</x:f>
        <x:v>582.2442799249998</x:v>
      </x:c>
    </x:row>
    <x:row r="103">
      <x:c r="A103" t="s">
        <x:v>103</x:v>
      </x:c>
      <x:c r="B103" s="7" t="n">
        <x:v>0.9264</x:v>
      </x:c>
      <x:c r="C103" s="7" t="n">
        <x:v>5466.7124</x:v>
      </x:c>
      <x:c r="D103" s="7" t="n">
        <x:v>1501.7283</x:v>
      </x:c>
      <x:c r="E103" s="7" t="n">
        <x:v>3964.9841000000006</x:v>
      </x:c>
      <x:c r="F103" s="7" t="n">
        <x:v>0</x:v>
      </x:c>
      <x:c r="G103" s="7" t="n">
        <x:v>0</x:v>
      </x:c>
      <x:c r="H103" s="7" t="n">
        <x:v>0</x:v>
      </x:c>
      <x:c r="I103" s="7" t="n">
        <x:v>10799.999999999998</x:v>
      </x:c>
      <x:c r="J103" s="7" t="n">
        <x:v>10799.999999999998</x:v>
      </x:c>
      <x:c r="K103" s="7" t="n">
        <x:f t="shared" si="6">E103*'修订说明'!$B$2</x:f>
        <x:v>660.8306833333334</x:v>
      </x:c>
      <x:c r="L103" s="7" t="n">
        <x:f t="shared" si="7">B103*K103</x:f>
        <x:v>612.19354504</x:v>
      </x:c>
    </x:row>
    <x:row r="104">
      <x:c r="A104" t="s">
        <x:v>104</x:v>
      </x:c>
      <x:c r="B104" s="7" t="n">
        <x:v>0.9462</x:v>
      </x:c>
      <x:c r="C104" s="7" t="n">
        <x:v>5467.3939</x:v>
      </x:c>
      <x:c r="D104" s="7" t="n">
        <x:v>1255.1723</x:v>
      </x:c>
      <x:c r="E104" s="7" t="n">
        <x:v>4212.2216</x:v>
      </x:c>
      <x:c r="F104" s="7" t="n">
        <x:v>0</x:v>
      </x:c>
      <x:c r="G104" s="7" t="n">
        <x:v>0</x:v>
      </x:c>
      <x:c r="H104" s="7" t="n">
        <x:v>0</x:v>
      </x:c>
      <x:c r="I104" s="7" t="n">
        <x:v>10799.999999999998</x:v>
      </x:c>
      <x:c r="J104" s="7" t="n">
        <x:v>10799.999999999998</x:v>
      </x:c>
      <x:c r="K104" s="7" t="n">
        <x:f t="shared" si="6">E104*'修订说明'!$B$2</x:f>
        <x:v>702.0369333333333</x:v>
      </x:c>
      <x:c r="L104" s="7" t="n">
        <x:f t="shared" si="7">B104*K104</x:f>
        <x:v>664.26734632</x:v>
      </x:c>
    </x:row>
    <x:row r="105">
      <x:c r="A105" t="s">
        <x:v>105</x:v>
      </x:c>
      <x:c r="B105" s="7" t="n">
        <x:v>0.9742</x:v>
      </x:c>
      <x:c r="C105" s="7" t="n">
        <x:v>5464.727</x:v>
      </x:c>
      <x:c r="D105" s="7" t="n">
        <x:v>1036.3323</x:v>
      </x:c>
      <x:c r="E105" s="7" t="n">
        <x:v>4428.394699999999</x:v>
      </x:c>
      <x:c r="F105" s="7" t="n">
        <x:v>0</x:v>
      </x:c>
      <x:c r="G105" s="7" t="n">
        <x:v>0</x:v>
      </x:c>
      <x:c r="H105" s="7" t="n">
        <x:v>0</x:v>
      </x:c>
      <x:c r="I105" s="7" t="n">
        <x:v>10799.999999999998</x:v>
      </x:c>
      <x:c r="J105" s="7" t="n">
        <x:v>10799.999999999998</x:v>
      </x:c>
      <x:c r="K105" s="7" t="n">
        <x:f t="shared" si="6">E105*'修订说明'!$B$2</x:f>
        <x:v>738.0657833333331</x:v>
      </x:c>
      <x:c r="L105" s="7" t="n">
        <x:f t="shared" si="7">B105*K105</x:f>
        <x:v>719.023686123333</x:v>
      </x:c>
    </x:row>
    <x:row r="106">
      <x:c r="A106" t="s">
        <x:v>106</x:v>
      </x:c>
      <x:c r="B106" s="7" t="n">
        <x:v>0.9862</x:v>
      </x:c>
      <x:c r="C106" s="7" t="n">
        <x:v>5492.4458</x:v>
      </x:c>
      <x:c r="D106" s="7" t="n">
        <x:v>836.7775</x:v>
      </x:c>
      <x:c r="E106" s="7" t="n">
        <x:v>4655.668299999999</x:v>
      </x:c>
      <x:c r="F106" s="7" t="n">
        <x:v>0</x:v>
      </x:c>
      <x:c r="G106" s="7" t="n">
        <x:v>0</x:v>
      </x:c>
      <x:c r="H106" s="7" t="n">
        <x:v>0</x:v>
      </x:c>
      <x:c r="I106" s="7" t="n">
        <x:v>10799.999999999998</x:v>
      </x:c>
      <x:c r="J106" s="7" t="n">
        <x:v>10799.999999999998</x:v>
      </x:c>
      <x:c r="K106" s="7" t="n">
        <x:f t="shared" si="6">E106*'修订说明'!$B$2</x:f>
        <x:v>775.9447166666665</x:v>
      </x:c>
      <x:c r="L106" s="7" t="n">
        <x:f t="shared" si="7">B106*K106</x:f>
        <x:v>765.2366795766665</x:v>
      </x:c>
    </x:row>
    <x:row r="107">
      <x:c r="A107" t="s">
        <x:v>107</x:v>
      </x:c>
      <x:c r="B107" s="7" t="n">
        <x:v>0.976</x:v>
      </x:c>
      <x:c r="C107" s="7" t="n">
        <x:v>5621.7308</x:v>
      </x:c>
      <x:c r="D107" s="7" t="n">
        <x:v>665.2313</x:v>
      </x:c>
      <x:c r="E107" s="7" t="n">
        <x:v>4956.4995</x:v>
      </x:c>
      <x:c r="F107" s="7" t="n">
        <x:v>0</x:v>
      </x:c>
      <x:c r="G107" s="7" t="n">
        <x:v>0</x:v>
      </x:c>
      <x:c r="H107" s="7" t="n">
        <x:v>0</x:v>
      </x:c>
      <x:c r="I107" s="7" t="n">
        <x:v>10799.999999999998</x:v>
      </x:c>
      <x:c r="J107" s="7" t="n">
        <x:v>10799.999999999998</x:v>
      </x:c>
      <x:c r="K107" s="7" t="n">
        <x:f t="shared" si="6">E107*'修订说明'!$B$2</x:f>
        <x:v>826.0832499999999</x:v>
      </x:c>
      <x:c r="L107" s="7" t="n">
        <x:f t="shared" si="7">B107*K107</x:f>
        <x:v>806.2572519999999</x:v>
      </x:c>
    </x:row>
    <x:row r="108">
      <x:c r="A108" t="s">
        <x:v>108</x:v>
      </x:c>
      <x:c r="B108" s="7" t="n">
        <x:v>1.0742</x:v>
      </x:c>
      <x:c r="C108" s="7" t="n">
        <x:v>5091.2126</x:v>
      </x:c>
      <x:c r="D108" s="7" t="n">
        <x:v>516.6758</x:v>
      </x:c>
      <x:c r="E108" s="7" t="n">
        <x:v>4574.536800000007</x:v>
      </x:c>
      <x:c r="F108" s="7" t="n">
        <x:v>0</x:v>
      </x:c>
      <x:c r="G108" s="7" t="n">
        <x:v>0</x:v>
      </x:c>
      <x:c r="H108" s="7" t="n">
        <x:v>0</x:v>
      </x:c>
      <x:c r="I108" s="7" t="n">
        <x:v>10799.999999999998</x:v>
      </x:c>
      <x:c r="J108" s="7" t="n">
        <x:v>10800</x:v>
      </x:c>
      <x:c r="K108" s="7" t="n">
        <x:f t="shared" si="6">E108*'修订说明'!$B$2</x:f>
        <x:v>762.4228000000012</x:v>
      </x:c>
      <x:c r="L108" s="7" t="n">
        <x:f t="shared" si="7">B108*K108</x:f>
        <x:v>818.9945717600013</x:v>
      </x:c>
    </x:row>
    <x:row r="109">
      <x:c r="A109" t="s">
        <x:v>109</x:v>
      </x:c>
      <x:c r="B109" s="7" t="n">
        <x:v>1.2313</x:v>
      </x:c>
      <x:c r="C109" s="7" t="n">
        <x:v>4208.5688</x:v>
      </x:c>
      <x:c r="D109" s="7" t="n">
        <x:v>386.6731</x:v>
      </x:c>
      <x:c r="E109" s="7" t="n">
        <x:v>3821.8957</x:v>
      </x:c>
      <x:c r="F109" s="7" t="n">
        <x:v>0</x:v>
      </x:c>
      <x:c r="G109" s="7" t="n">
        <x:v>0</x:v>
      </x:c>
      <x:c r="H109" s="7" t="n">
        <x:v>0</x:v>
      </x:c>
      <x:c r="I109" s="7" t="n">
        <x:v>10800</x:v>
      </x:c>
      <x:c r="J109" s="7" t="n">
        <x:v>10800</x:v>
      </x:c>
      <x:c r="K109" s="7" t="n">
        <x:f t="shared" si="6">E109*'修订说明'!$B$2</x:f>
        <x:v>636.9826166666667</x:v>
      </x:c>
      <x:c r="L109" s="7" t="n">
        <x:f t="shared" si="7">B109*K109</x:f>
        <x:v>784.3166959016667</x:v>
      </x:c>
    </x:row>
    <x:row r="110">
      <x:c r="A110" t="s">
        <x:v>110</x:v>
      </x:c>
      <x:c r="B110" s="7" t="n">
        <x:v>1.2561</x:v>
      </x:c>
      <x:c r="C110" s="7" t="n">
        <x:v>4122.7611</x:v>
      </x:c>
      <x:c r="D110" s="7" t="n">
        <x:v>275.7933</x:v>
      </x:c>
      <x:c r="E110" s="7" t="n">
        <x:v>3731.1012726492063</x:v>
      </x:c>
      <x:c r="F110" s="7" t="n">
        <x:v>0</x:v>
      </x:c>
      <x:c r="G110" s="7" t="n">
        <x:v>115.86652735085832</x:v>
      </x:c>
      <x:c r="H110" s="7" t="n">
        <x:v>0</x:v>
      </x:c>
      <x:c r="I110" s="7" t="n">
        <x:v>10800</x:v>
      </x:c>
      <x:c r="J110" s="7" t="n">
        <x:v>10779.644326055404</x:v>
      </x:c>
      <x:c r="K110" s="7" t="n">
        <x:f t="shared" si="6">E110*'修订说明'!$B$2</x:f>
        <x:v>621.850212108201</x:v>
      </x:c>
      <x:c r="L110" s="7" t="n">
        <x:f t="shared" si="7">B110*K110</x:f>
        <x:v>781.1060514291113</x:v>
      </x:c>
    </x:row>
    <x:row r="111">
      <x:c r="A111" t="s">
        <x:v>111</x:v>
      </x:c>
      <x:c r="B111" s="7" t="n">
        <x:v>1.2447</x:v>
      </x:c>
      <x:c r="C111" s="7" t="n">
        <x:v>4255.9358</x:v>
      </x:c>
      <x:c r="D111" s="7" t="n">
        <x:v>182.9526</x:v>
      </x:c>
      <x:c r="E111" s="7" t="n">
        <x:v>2957.1166726492047</x:v>
      </x:c>
      <x:c r="F111" s="7" t="n">
        <x:v>0</x:v>
      </x:c>
      <x:c r="G111" s="7" t="n">
        <x:v>1115.8665273507306</x:v>
      </x:c>
      <x:c r="H111" s="7" t="n">
        <x:v>0</x:v>
      </x:c>
      <x:c r="I111" s="7" t="n">
        <x:v>10779.644326055404</x:v>
      </x:c>
      <x:c r="J111" s="7" t="n">
        <x:v>10583.606559879234</x:v>
      </x:c>
      <x:c r="K111" s="7" t="n">
        <x:f t="shared" si="6">E111*'修订说明'!$B$2</x:f>
        <x:v>492.85277877486743</x:v>
      </x:c>
      <x:c r="L111" s="7" t="n">
        <x:f t="shared" si="7">B111*K111</x:f>
        <x:v>613.4538537410774</x:v>
      </x:c>
    </x:row>
    <x:row r="112">
      <x:c r="A112" t="s">
        <x:v>112</x:v>
      </x:c>
      <x:c r="B112" s="7" t="n">
        <x:v>1.2545</x:v>
      </x:c>
      <x:c r="C112" s="7" t="n">
        <x:v>4225.9524</x:v>
      </x:c>
      <x:c r="D112" s="7" t="n">
        <x:v>108.3414</x:v>
      </x:c>
      <x:c r="E112" s="7" t="n">
        <x:v>2001.7444726492008</x:v>
      </x:c>
      <x:c r="F112" s="7" t="n">
        <x:v>0</x:v>
      </x:c>
      <x:c r="G112" s="7" t="n">
        <x:v>2115.8665273507895</x:v>
      </x:c>
      <x:c r="H112" s="7" t="n">
        <x:v>0</x:v>
      </x:c>
      <x:c r="I112" s="7" t="n">
        <x:v>10583.606559879234</x:v>
      </x:c>
      <x:c r="J112" s="7" t="n">
        <x:v>10211.886701471485</x:v>
      </x:c>
      <x:c r="K112" s="7" t="n">
        <x:f t="shared" si="6">E112*'修订说明'!$B$2</x:f>
        <x:v>333.6240787748668</x:v>
      </x:c>
      <x:c r="L112" s="7" t="n">
        <x:f t="shared" si="7">B112*K112</x:f>
        <x:v>418.53140682307037</x:v>
      </x:c>
    </x:row>
    <x:row r="113">
      <x:c r="A113" t="s">
        <x:v>113</x:v>
      </x:c>
      <x:c r="B113" s="7" t="n">
        <x:v>1.2522</x:v>
      </x:c>
      <x:c r="C113" s="7" t="n">
        <x:v>4233.3384</x:v>
      </x:c>
      <x:c r="D113" s="7" t="n">
        <x:v>54.3121</x:v>
      </x:c>
      <x:c r="E113" s="7" t="n">
        <x:v>1063.1597726492037</x:v>
      </x:c>
      <x:c r="F113" s="7" t="n">
        <x:v>0</x:v>
      </x:c>
      <x:c r="G113" s="7" t="n">
        <x:v>3115.8665273508086</x:v>
      </x:c>
      <x:c r="H113" s="7" t="n">
        <x:v>0</x:v>
      </x:c>
      <x:c r="I113" s="7" t="n">
        <x:v>10211.886701471485</x:v>
      </x:c>
      <x:c r="J113" s="7" t="n">
        <x:v>9664.48475083216</x:v>
      </x:c>
      <x:c r="K113" s="7" t="n">
        <x:f t="shared" si="6">E113*'修订说明'!$B$2</x:f>
        <x:v>177.19329544153393</x:v>
      </x:c>
      <x:c r="L113" s="7" t="n">
        <x:f t="shared" si="7">B113*K113</x:f>
        <x:v>221.8814445518888</x:v>
      </x:c>
    </x:row>
    <x:row r="114">
      <x:c r="A114" t="s">
        <x:v>114</x:v>
      </x:c>
      <x:c r="B114" s="7" t="n">
        <x:v>1.2881</x:v>
      </x:c>
      <x:c r="C114" s="7" t="n">
        <x:v>4246.4625</x:v>
      </x:c>
      <x:c r="D114" s="7" t="n">
        <x:v>18.6569</x:v>
      </x:c>
      <x:c r="E114" s="7" t="n">
        <x:v>111.93907264920381</x:v>
      </x:c>
      <x:c r="F114" s="7" t="n">
        <x:v>0</x:v>
      </x:c>
      <x:c r="G114" s="7" t="n">
        <x:v>4115.8665273509005</x:v>
      </x:c>
      <x:c r="H114" s="7" t="n">
        <x:v>0</x:v>
      </x:c>
      <x:c r="I114" s="7" t="n">
        <x:v>9664.48475083216</x:v>
      </x:c>
      <x:c r="J114" s="7" t="n">
        <x:v>8941.400707961257</x:v>
      </x:c>
      <x:c r="K114" s="7" t="n">
        <x:f t="shared" si="6">E114*'修订说明'!$B$2</x:f>
        <x:v>18.656512108200634</x:v>
      </x:c>
      <x:c r="L114" s="7" t="n">
        <x:f t="shared" si="7">B114*K114</x:f>
        <x:v>24.031453246573236</x:v>
      </x:c>
    </x:row>
    <x:row r="115">
      <x:c r="A115" t="s">
        <x:v>115</x:v>
      </x:c>
      <x:c r="B115" s="7" t="n">
        <x:v>1.3466</x:v>
      </x:c>
      <x:c r="C115" s="7" t="n">
        <x:v>4239.1795</x:v>
      </x:c>
      <x:c r="D115" s="7" t="n">
        <x:v>0.2753</x:v>
      </x:c>
      <x:c r="E115" s="7" t="n">
        <x:v>0</x:v>
      </x:c>
      <x:c r="F115" s="7" t="n">
        <x:v>0</x:v>
      </x:c>
      <x:c r="G115" s="7" t="n">
        <x:v>4238.904200000019</x:v>
      </x:c>
      <x:c r="H115" s="7" t="n">
        <x:v>0</x:v>
      </x:c>
      <x:c r="I115" s="7" t="n">
        <x:v>8941.400707961257</x:v>
      </x:c>
      <x:c r="J115" s="7" t="n">
        <x:v>8196.701149336039</x:v>
      </x:c>
      <x:c r="K115" s="7" t="n">
        <x:f t="shared" si="6">E115*'修订说明'!$B$2</x:f>
        <x:v>0</x:v>
      </x:c>
      <x:c r="L115" s="7" t="n">
        <x:f t="shared" si="7">B115*K115</x:f>
        <x:v>0</x:v>
      </x:c>
    </x:row>
    <x:row r="116">
      <x:c r="A116" t="s">
        <x:v>116</x:v>
      </x:c>
      <x:c r="B116" s="7" t="n">
        <x:v>1.3523</x:v>
      </x:c>
      <x:c r="C116" s="7" t="n">
        <x:v>4244.6684</x:v>
      </x:c>
      <x:c r="D116" s="7" t="n">
        <x:v>0.2296</x:v>
      </x:c>
      <x:c r="E116" s="7" t="n">
        <x:v>0</x:v>
      </x:c>
      <x:c r="F116" s="7" t="n">
        <x:v>0</x:v>
      </x:c>
      <x:c r="G116" s="7" t="n">
        <x:v>4244.438799999954</x:v>
      </x:c>
      <x:c r="H116" s="7" t="n">
        <x:v>0</x:v>
      </x:c>
      <x:c r="I116" s="7" t="n">
        <x:v>8196.701149336039</x:v>
      </x:c>
      <x:c r="J116" s="7" t="n">
        <x:v>7451.029260603157</x:v>
      </x:c>
      <x:c r="K116" s="7" t="n">
        <x:f t="shared" si="6">E116*'修订说明'!$B$2</x:f>
        <x:v>0</x:v>
      </x:c>
      <x:c r="L116" s="7" t="n">
        <x:f t="shared" si="7">B116*K116</x:f>
        <x:v>0</x:v>
      </x:c>
    </x:row>
    <x:row r="117">
      <x:c r="A117" t="s">
        <x:v>117</x:v>
      </x:c>
      <x:c r="B117" s="7" t="n">
        <x:v>1.3445</x:v>
      </x:c>
      <x:c r="C117" s="7" t="n">
        <x:v>4251.9187</x:v>
      </x:c>
      <x:c r="D117" s="7" t="n">
        <x:v>0.6007</x:v>
      </x:c>
      <x:c r="E117" s="7" t="n">
        <x:v>0</x:v>
      </x:c>
      <x:c r="F117" s="7" t="n">
        <x:v>0</x:v>
      </x:c>
      <x:c r="G117" s="7" t="n">
        <x:v>4251.318000000068</x:v>
      </x:c>
      <x:c r="H117" s="7" t="n">
        <x:v>0</x:v>
      </x:c>
      <x:c r="I117" s="7" t="n">
        <x:v>7451.029260603157</x:v>
      </x:c>
      <x:c r="J117" s="7" t="n">
        <x:v>6704.148819621394</x:v>
      </x:c>
      <x:c r="K117" s="7" t="n">
        <x:f t="shared" si="6">E117*'修订说明'!$B$2</x:f>
        <x:v>0</x:v>
      </x:c>
      <x:c r="L117" s="7" t="n">
        <x:f t="shared" si="7">B117*K117</x:f>
        <x:v>0</x:v>
      </x:c>
    </x:row>
    <x:row r="118">
      <x:c r="A118" t="s">
        <x:v>118</x:v>
      </x:c>
      <x:c r="B118" s="7" t="n">
        <x:v>1.3483</x:v>
      </x:c>
      <x:c r="C118" s="7" t="n">
        <x:v>4256.6813</x:v>
      </x:c>
      <x:c r="D118" s="7" t="n">
        <x:v>0</x:v>
      </x:c>
      <x:c r="E118" s="7" t="n">
        <x:v>0</x:v>
      </x:c>
      <x:c r="F118" s="7" t="n">
        <x:v>0</x:v>
      </x:c>
      <x:c r="G118" s="7" t="n">
        <x:v>4256.681299999983</x:v>
      </x:c>
      <x:c r="H118" s="7" t="n">
        <x:v>0</x:v>
      </x:c>
      <x:c r="I118" s="7" t="n">
        <x:v>6704.148819621394</x:v>
      </x:c>
      <x:c r="J118" s="7" t="n">
        <x:v>5956.326142874366</x:v>
      </x:c>
      <x:c r="K118" s="7" t="n">
        <x:f t="shared" si="6">E118*'修订说明'!$B$2</x:f>
        <x:v>0</x:v>
      </x:c>
      <x:c r="L118" s="7" t="n">
        <x:f t="shared" si="7">B118*K118</x:f>
        <x:v>0</x:v>
      </x:c>
    </x:row>
    <x:row r="119">
      <x:c r="A119" t="s">
        <x:v>119</x:v>
      </x:c>
      <x:c r="B119" s="7" t="n">
        <x:v>1.349</x:v>
      </x:c>
      <x:c r="C119" s="7" t="n">
        <x:v>4267.3947</x:v>
      </x:c>
      <x:c r="D119" s="7" t="n">
        <x:v>0</x:v>
      </x:c>
      <x:c r="E119" s="7" t="n">
        <x:v>0</x:v>
      </x:c>
      <x:c r="F119" s="7" t="n">
        <x:v>0</x:v>
      </x:c>
      <x:c r="G119" s="7" t="n">
        <x:v>4267.39470000005</x:v>
      </x:c>
      <x:c r="H119" s="7" t="n">
        <x:v>0</x:v>
      </x:c>
      <x:c r="I119" s="7" t="n">
        <x:v>5956.326142874366</x:v>
      </x:c>
      <x:c r="J119" s="7" t="n">
        <x:v>5206.621313600424</x:v>
      </x:c>
      <x:c r="K119" s="7" t="n">
        <x:f t="shared" si="6">E119*'修订说明'!$B$2</x:f>
        <x:v>0</x:v>
      </x:c>
      <x:c r="L119" s="7" t="n">
        <x:f t="shared" si="7">B119*K119</x:f>
        <x:v>0</x:v>
      </x:c>
    </x:row>
    <x:row r="120">
      <x:c r="A120" t="s">
        <x:v>120</x:v>
      </x:c>
      <x:c r="B120" s="7" t="n">
        <x:v>1.3473</x:v>
      </x:c>
      <x:c r="C120" s="7" t="n">
        <x:v>4269.975</x:v>
      </x:c>
      <x:c r="D120" s="7" t="n">
        <x:v>0</x:v>
      </x:c>
      <x:c r="E120" s="7" t="n">
        <x:v>1.304800000000796</x:v>
      </x:c>
      <x:c r="F120" s="7" t="n">
        <x:v>0</x:v>
      </x:c>
      <x:c r="G120" s="7" t="n">
        <x:v>4268.670199999955</x:v>
      </x:c>
      <x:c r="H120" s="7" t="n">
        <x:v>0</x:v>
      </x:c>
      <x:c r="I120" s="7" t="n">
        <x:v>5206.621313600424</x:v>
      </x:c>
      <x:c r="J120" s="7" t="n">
        <x:v>4456.692401817842</x:v>
      </x:c>
      <x:c r="K120" s="7" t="n">
        <x:f t="shared" si="6">E120*'修订说明'!$B$2</x:f>
        <x:v>0.2174666666667993</x:v>
      </x:c>
      <x:c r="L120" s="7" t="n">
        <x:f t="shared" si="7">B120*K120</x:f>
        <x:v>0.2929928400001787</x:v>
      </x:c>
    </x:row>
    <x:row r="121">
      <x:c r="A121" t="s">
        <x:v>121</x:v>
      </x:c>
      <x:c r="B121" s="7" t="n">
        <x:v>1.3482</x:v>
      </x:c>
      <x:c r="C121" s="7" t="n">
        <x:v>4268.6702</x:v>
      </x:c>
      <x:c r="D121" s="7" t="n">
        <x:v>0</x:v>
      </x:c>
      <x:c r="E121" s="7" t="n">
        <x:v>0</x:v>
      </x:c>
      <x:c r="F121" s="7" t="n">
        <x:v>0</x:v>
      </x:c>
      <x:c r="G121" s="7" t="n">
        <x:v>4268.6702000000205</x:v>
      </x:c>
      <x:c r="H121" s="7" t="n">
        <x:v>0</x:v>
      </x:c>
      <x:c r="I121" s="7" t="n">
        <x:v>4456.692401817842</x:v>
      </x:c>
      <x:c r="J121" s="7" t="n">
        <x:v>3706.7634900352596</x:v>
      </x:c>
      <x:c r="K121" s="7" t="n">
        <x:f t="shared" si="6">E121*'修订说明'!$B$2</x:f>
        <x:v>0</x:v>
      </x:c>
      <x:c r="L121" s="7" t="n">
        <x:f t="shared" si="7">B121*K121</x:f>
        <x:v>0</x:v>
      </x:c>
    </x:row>
    <x:row r="122">
      <x:c r="A122" t="s">
        <x:v>122</x:v>
      </x:c>
      <x:c r="B122" s="7" t="n">
        <x:v>1.3513</x:v>
      </x:c>
      <x:c r="C122" s="7" t="n">
        <x:v>4282.2245</x:v>
      </x:c>
      <x:c r="D122" s="7" t="n">
        <x:v>0</x:v>
      </x:c>
      <x:c r="E122" s="7" t="n">
        <x:v>13.476569044392114</x:v>
      </x:c>
      <x:c r="F122" s="7" t="n">
        <x:v>0</x:v>
      </x:c>
      <x:c r="G122" s="7" t="n">
        <x:v>4268.747930955336</x:v>
      </x:c>
      <x:c r="H122" s="7" t="n">
        <x:v>0</x:v>
      </x:c>
      <x:c r="I122" s="7" t="n">
        <x:v>3706.7634900352596</x:v>
      </x:c>
      <x:c r="J122" s="7" t="n">
        <x:v>2956.820922315769</x:v>
      </x:c>
      <x:c r="K122" s="7" t="n">
        <x:f t="shared" si="6">E122*'修订说明'!$B$2</x:f>
        <x:v>2.246094840732019</x:v>
      </x:c>
      <x:c r="L122" s="7" t="n">
        <x:f t="shared" si="7">B122*K122</x:f>
        <x:v>3.035147958281177</x:v>
      </x:c>
    </x:row>
    <x:row r="123">
      <x:c r="A123" t="s">
        <x:v>123</x:v>
      </x:c>
      <x:c r="B123" s="7" t="n">
        <x:v>1.34</x:v>
      </x:c>
      <x:c r="C123" s="7" t="n">
        <x:v>4291.7049</x:v>
      </x:c>
      <x:c r="D123" s="7" t="n">
        <x:v>0</x:v>
      </x:c>
      <x:c r="E123" s="7" t="n">
        <x:v>291.70489999999654</x:v>
      </x:c>
      <x:c r="F123" s="7" t="n">
        <x:v>0</x:v>
      </x:c>
      <x:c r="G123" s="7" t="n">
        <x:v>4000.000000000018</x:v>
      </x:c>
      <x:c r="H123" s="7" t="n">
        <x:v>0</x:v>
      </x:c>
      <x:c r="I123" s="7" t="n">
        <x:v>2956.820922315769</x:v>
      </x:c>
      <x:c r="J123" s="7" t="n">
        <x:v>2254.092553389462</x:v>
      </x:c>
      <x:c r="K123" s="7" t="n">
        <x:f t="shared" si="6">E123*'修订说明'!$B$2</x:f>
        <x:v>48.61748333333276</x:v>
      </x:c>
      <x:c r="L123" s="7" t="n">
        <x:f t="shared" si="7">B123*K123</x:f>
        <x:v>65.1474276666659</x:v>
      </x:c>
    </x:row>
    <x:row r="124">
      <x:c r="A124" t="s">
        <x:v>124</x:v>
      </x:c>
      <x:c r="B124" s="7" t="n">
        <x:v>1.3489</x:v>
      </x:c>
      <x:c r="C124" s="7" t="n">
        <x:v>4291.3611</x:v>
      </x:c>
      <x:c r="D124" s="7" t="n">
        <x:v>0</x:v>
      </x:c>
      <x:c r="E124" s="7" t="n">
        <x:v>1291.361099999997</x:v>
      </x:c>
      <x:c r="F124" s="7" t="n">
        <x:v>0</x:v>
      </x:c>
      <x:c r="G124" s="7" t="n">
        <x:v>3000.0000000000064</x:v>
      </x:c>
      <x:c r="H124" s="7" t="n">
        <x:v>0</x:v>
      </x:c>
      <x:c r="I124" s="7" t="n">
        <x:v>2254.092553389462</x:v>
      </x:c>
      <x:c r="J124" s="7" t="n">
        <x:v>1727.0462766947317</x:v>
      </x:c>
      <x:c r="K124" s="7" t="n">
        <x:f t="shared" si="6">E124*'修订说明'!$B$2</x:f>
        <x:v>215.22684999999947</x:v>
      </x:c>
      <x:c r="L124" s="7" t="n">
        <x:f t="shared" si="7">B124*K124</x:f>
        <x:v>290.3194979649993</x:v>
      </x:c>
    </x:row>
    <x:row r="125">
      <x:c r="A125" t="s">
        <x:v>125</x:v>
      </x:c>
      <x:c r="B125" s="7" t="n">
        <x:v>1.3952</x:v>
      </x:c>
      <x:c r="C125" s="7" t="n">
        <x:v>4293.9182</x:v>
      </x:c>
      <x:c r="D125" s="7" t="n">
        <x:v>0</x:v>
      </x:c>
      <x:c r="E125" s="7" t="n">
        <x:v>2293.918199999997</x:v>
      </x:c>
      <x:c r="F125" s="7" t="n">
        <x:v>0</x:v>
      </x:c>
      <x:c r="G125" s="7" t="n">
        <x:v>1999.999999999999</x:v>
      </x:c>
      <x:c r="H125" s="7" t="n">
        <x:v>0</x:v>
      </x:c>
      <x:c r="I125" s="7" t="n">
        <x:v>1727.0462766947317</x:v>
      </x:c>
      <x:c r="J125" s="7" t="n">
        <x:v>1375.6820922315778</x:v>
      </x:c>
      <x:c r="K125" s="7" t="n">
        <x:f t="shared" si="6">E125*'修订说明'!$B$2</x:f>
        <x:v>382.31969999999944</x:v>
      </x:c>
      <x:c r="L125" s="7" t="n">
        <x:f t="shared" si="7">B125*K125</x:f>
        <x:v>533.4124454399993</x:v>
      </x:c>
    </x:row>
    <x:row r="126">
      <x:c r="A126" t="s">
        <x:v>126</x:v>
      </x:c>
      <x:c r="B126" s="7" t="n">
        <x:v>1.2226</x:v>
      </x:c>
      <x:c r="C126" s="7" t="n">
        <x:v>4295.2135</x:v>
      </x:c>
      <x:c r="D126" s="7" t="n">
        <x:v>0</x:v>
      </x:c>
      <x:c r="E126" s="7" t="n">
        <x:v>3295.2134999999967</x:v>
      </x:c>
      <x:c r="F126" s="7" t="n">
        <x:v>0</x:v>
      </x:c>
      <x:c r="G126" s="7" t="n">
        <x:v>999.9999999999989</x:v>
      </x:c>
      <x:c r="H126" s="7" t="n">
        <x:v>0</x:v>
      </x:c>
      <x:c r="I126" s="7" t="n">
        <x:v>1375.6820922315778</x:v>
      </x:c>
      <x:c r="J126" s="7" t="n">
        <x:v>1200.0000000000007</x:v>
      </x:c>
      <x:c r="K126" s="7" t="n">
        <x:f t="shared" si="6">E126*'修订说明'!$B$2</x:f>
        <x:v>549.2022499999994</x:v>
      </x:c>
      <x:c r="L126" s="7" t="n">
        <x:f t="shared" si="7">B126*K126</x:f>
        <x:v>671.4546708499992</x:v>
      </x:c>
    </x:row>
    <x:row r="127">
      <x:c r="A127" t="s">
        <x:v>127</x:v>
      </x:c>
      <x:c r="B127" s="7" t="n">
        <x:v>0.9332</x:v>
      </x:c>
      <x:c r="C127" s="7" t="n">
        <x:v>4302.0307</x:v>
      </x:c>
      <x:c r="D127" s="7" t="n">
        <x:v>0</x:v>
      </x:c>
      <x:c r="E127" s="7" t="n">
        <x:v>4302.0307</x:v>
      </x:c>
      <x:c r="F127" s="7" t="n">
        <x:v>0</x:v>
      </x:c>
      <x:c r="G127" s="7" t="n">
        <x:v>0</x:v>
      </x:c>
      <x:c r="H127" s="7" t="n">
        <x:v>0</x:v>
      </x:c>
      <x:c r="I127" s="7" t="n">
        <x:v>1200.0000000000007</x:v>
      </x:c>
      <x:c r="J127" s="7" t="n">
        <x:v>1200.0000000000007</x:v>
      </x:c>
      <x:c r="K127" s="7" t="n">
        <x:f t="shared" si="6">E127*'修订说明'!$B$2</x:f>
        <x:v>717.0051166666667</x:v>
      </x:c>
      <x:c r="L127" s="7" t="n">
        <x:f t="shared" si="7">B127*K127</x:f>
        <x:v>669.1091748733334</x:v>
      </x:c>
    </x:row>
    <x:row r="128">
      <x:c r="A128" t="s">
        <x:v>128</x:v>
      </x:c>
      <x:c r="B128" s="7" t="n">
        <x:v>0.9068</x:v>
      </x:c>
      <x:c r="C128" s="7" t="n">
        <x:v>4320.9618</x:v>
      </x:c>
      <x:c r="D128" s="7" t="n">
        <x:v>0</x:v>
      </x:c>
      <x:c r="E128" s="7" t="n">
        <x:v>4320.961799999997</x:v>
      </x:c>
      <x:c r="F128" s="7" t="n">
        <x:v>0</x:v>
      </x:c>
      <x:c r="G128" s="7" t="n">
        <x:v>0</x:v>
      </x:c>
      <x:c r="H128" s="7" t="n">
        <x:v>0</x:v>
      </x:c>
      <x:c r="I128" s="7" t="n">
        <x:v>1200.0000000000007</x:v>
      </x:c>
      <x:c r="J128" s="7" t="n">
        <x:v>1200.0000000000005</x:v>
      </x:c>
      <x:c r="K128" s="7" t="n">
        <x:f t="shared" si="6">E128*'修订说明'!$B$2</x:f>
        <x:v>720.1602999999996</x:v>
      </x:c>
      <x:c r="L128" s="7" t="n">
        <x:f t="shared" si="7">B128*K128</x:f>
        <x:v>653.0413600399996</x:v>
      </x:c>
    </x:row>
    <x:row r="129">
      <x:c r="A129" t="s">
        <x:v>129</x:v>
      </x:c>
      <x:c r="B129" s="7" t="n">
        <x:v>0.9371</x:v>
      </x:c>
      <x:c r="C129" s="7" t="n">
        <x:v>4302.3292</x:v>
      </x:c>
      <x:c r="D129" s="7" t="n">
        <x:v>0</x:v>
      </x:c>
      <x:c r="E129" s="7" t="n">
        <x:v>4302.3292</x:v>
      </x:c>
      <x:c r="F129" s="7" t="n">
        <x:v>0</x:v>
      </x:c>
      <x:c r="G129" s="7" t="n">
        <x:v>0</x:v>
      </x:c>
      <x:c r="H129" s="7" t="n">
        <x:v>0</x:v>
      </x:c>
      <x:c r="I129" s="7" t="n">
        <x:v>1200.0000000000005</x:v>
      </x:c>
      <x:c r="J129" s="7" t="n">
        <x:v>1200.0000000000005</x:v>
      </x:c>
      <x:c r="K129" s="7" t="n">
        <x:f t="shared" si="6">E129*'修订说明'!$B$2</x:f>
        <x:v>717.0548666666666</x:v>
      </x:c>
      <x:c r="L129" s="7" t="n">
        <x:f t="shared" si="7">B129*K129</x:f>
        <x:v>671.9521155533333</x:v>
      </x:c>
    </x:row>
    <x:row r="130">
      <x:c r="A130" t="s">
        <x:v>130</x:v>
      </x:c>
      <x:c r="B130" s="7" t="n">
        <x:v>0.9371</x:v>
      </x:c>
      <x:c r="C130" s="7" t="n">
        <x:v>4322.6758</x:v>
      </x:c>
      <x:c r="D130" s="7" t="n">
        <x:v>0</x:v>
      </x:c>
      <x:c r="E130" s="7" t="n">
        <x:v>4322.675799999998</x:v>
      </x:c>
      <x:c r="F130" s="7" t="n">
        <x:v>0</x:v>
      </x:c>
      <x:c r="G130" s="7" t="n">
        <x:v>0</x:v>
      </x:c>
      <x:c r="H130" s="7" t="n">
        <x:v>0</x:v>
      </x:c>
      <x:c r="I130" s="7" t="n">
        <x:v>1200.0000000000005</x:v>
      </x:c>
      <x:c r="J130" s="7" t="n">
        <x:v>1200</x:v>
      </x:c>
      <x:c r="K130" s="7" t="n">
        <x:f t="shared" ref="K130:K145" si="8">E130*'修订说明'!$B$2</x:f>
        <x:v>720.4459666666663</x:v>
      </x:c>
      <x:c r="L130" s="7" t="n">
        <x:f t="shared" ref="L130:L145" si="9">B130*K130</x:f>
        <x:v>675.129915363333</x:v>
      </x:c>
    </x:row>
    <x:row r="131">
      <x:c r="A131" t="s">
        <x:v>131</x:v>
      </x:c>
      <x:c r="B131" s="7" t="n">
        <x:v>0.9871</x:v>
      </x:c>
      <x:c r="C131" s="7" t="n">
        <x:v>4428.8083</x:v>
      </x:c>
      <x:c r="D131" s="7" t="n">
        <x:v>0</x:v>
      </x:c>
      <x:c r="E131" s="7" t="n">
        <x:v>4428.808299999997</x:v>
      </x:c>
      <x:c r="F131" s="7" t="n">
        <x:v>0</x:v>
      </x:c>
      <x:c r="G131" s="7" t="n">
        <x:v>0</x:v>
      </x:c>
      <x:c r="H131" s="7" t="n">
        <x:v>0</x:v>
      </x:c>
      <x:c r="I131" s="7" t="n">
        <x:v>1200</x:v>
      </x:c>
      <x:c r="J131" s="7" t="n">
        <x:v>1199.9999999999998</x:v>
      </x:c>
      <x:c r="K131" s="7" t="n">
        <x:f t="shared" si="8">E131*'修订说明'!$B$2</x:f>
        <x:v>738.1347166666661</x:v>
      </x:c>
      <x:c r="L131" s="7" t="n">
        <x:f t="shared" si="9">B131*K131</x:f>
        <x:v>728.6127788216661</x:v>
      </x:c>
    </x:row>
    <x:row r="132">
      <x:c r="A132" t="s">
        <x:v>132</x:v>
      </x:c>
      <x:c r="B132" s="7" t="n">
        <x:v>0.7764</x:v>
      </x:c>
      <x:c r="C132" s="7" t="n">
        <x:v>4030.1614</x:v>
      </x:c>
      <x:c r="D132" s="7" t="n">
        <x:v>0</x:v>
      </x:c>
      <x:c r="E132" s="7" t="n">
        <x:v>4030.1614000000045</x:v>
      </x:c>
      <x:c r="F132" s="7" t="n">
        <x:v>0</x:v>
      </x:c>
      <x:c r="G132" s="7" t="n">
        <x:v>0</x:v>
      </x:c>
      <x:c r="H132" s="7" t="n">
        <x:v>0</x:v>
      </x:c>
      <x:c r="I132" s="7" t="n">
        <x:v>1199.9999999999998</x:v>
      </x:c>
      <x:c r="J132" s="7" t="n">
        <x:v>1200.0000000000007</x:v>
      </x:c>
      <x:c r="K132" s="7" t="n">
        <x:f t="shared" si="8">E132*'修订说明'!$B$2</x:f>
        <x:v>671.6935666666674</x:v>
      </x:c>
      <x:c r="L132" s="7" t="n">
        <x:f t="shared" si="9">B132*K132</x:f>
        <x:v>521.5028851600006</x:v>
      </x:c>
    </x:row>
    <x:row r="133">
      <x:c r="A133" t="s">
        <x:v>133</x:v>
      </x:c>
      <x:c r="B133" s="7" t="n">
        <x:v>0.4209</x:v>
      </x:c>
      <x:c r="C133" s="7" t="n">
        <x:v>3362.7419</x:v>
      </x:c>
      <x:c r="D133" s="7" t="n">
        <x:v>0</x:v>
      </x:c>
      <x:c r="E133" s="7" t="n">
        <x:v>4362.7419000000045</x:v>
      </x:c>
      <x:c r="F133" s="7" t="n">
        <x:v>1000.0000000000082</x:v>
      </x:c>
      <x:c r="G133" s="7" t="n">
        <x:v>0</x:v>
      </x:c>
      <x:c r="H133" s="7" t="n">
        <x:v>0</x:v>
      </x:c>
      <x:c r="I133" s="7" t="n">
        <x:v>1200.0000000000007</x:v>
      </x:c>
      <x:c r="J133" s="7" t="n">
        <x:v>1358.1138830084203</x:v>
      </x:c>
      <x:c r="K133" s="7" t="n">
        <x:f t="shared" si="8">E133*'修订说明'!$B$2</x:f>
        <x:v>727.1236500000007</x:v>
      </x:c>
      <x:c r="L133" s="7" t="n">
        <x:f t="shared" si="9">B133*K133</x:f>
        <x:v>306.04634428500026</x:v>
      </x:c>
    </x:row>
    <x:row r="134">
      <x:c r="A134" t="s">
        <x:v>134</x:v>
      </x:c>
      <x:c r="B134" s="7" t="n">
        <x:v>0.3859</x:v>
      </x:c>
      <x:c r="C134" s="7" t="n">
        <x:v>3309.3934</x:v>
      </x:c>
      <x:c r="D134" s="7" t="n">
        <x:v>0</x:v>
      </x:c>
      <x:c r="E134" s="7" t="n">
        <x:v>5309.3934000000045</x:v>
      </x:c>
      <x:c r="F134" s="7" t="n">
        <x:v>2000.0000000000255</x:v>
      </x:c>
      <x:c r="G134" s="7" t="n">
        <x:v>0</x:v>
      </x:c>
      <x:c r="H134" s="7" t="n">
        <x:v>0</x:v>
      </x:c>
      <x:c r="I134" s="7" t="n">
        <x:v>1358.1138830084203</x:v>
      </x:c>
      <x:c r="J134" s="7" t="n">
        <x:v>1674.3416490252587</x:v>
      </x:c>
      <x:c r="K134" s="7" t="n">
        <x:f t="shared" si="8">E134*'修订说明'!$B$2</x:f>
        <x:v>884.8989000000007</x:v>
      </x:c>
      <x:c r="L134" s="7" t="n">
        <x:f t="shared" si="9">B134*K134</x:f>
        <x:v>341.4824855100003</x:v>
      </x:c>
    </x:row>
    <x:row r="135">
      <x:c r="A135" t="s">
        <x:v>135</x:v>
      </x:c>
      <x:c r="B135" s="7" t="n">
        <x:v>0.4368</x:v>
      </x:c>
      <x:c r="C135" s="7" t="n">
        <x:v>3412.9563</x:v>
      </x:c>
      <x:c r="D135" s="7" t="n">
        <x:v>0</x:v>
      </x:c>
      <x:c r="E135" s="7" t="n">
        <x:v>5412.956300000004</x:v>
      </x:c>
      <x:c r="F135" s="7" t="n">
        <x:v>1999.999999999989</x:v>
      </x:c>
      <x:c r="G135" s="7" t="n">
        <x:v>0</x:v>
      </x:c>
      <x:c r="H135" s="7" t="n">
        <x:v>0</x:v>
      </x:c>
      <x:c r="I135" s="7" t="n">
        <x:v>1674.3416490252587</x:v>
      </x:c>
      <x:c r="J135" s="7" t="n">
        <x:v>1990.5694150420975</x:v>
      </x:c>
      <x:c r="K135" s="7" t="n">
        <x:f t="shared" si="8">E135*'修订说明'!$B$2</x:f>
        <x:v>902.1593833333341</x:v>
      </x:c>
      <x:c r="L135" s="7" t="n">
        <x:f t="shared" si="9">B135*K135</x:f>
        <x:v>394.06321864000034</x:v>
      </x:c>
    </x:row>
    <x:row r="136">
      <x:c r="A136" t="s">
        <x:v>136</x:v>
      </x:c>
      <x:c r="B136" s="7" t="n">
        <x:v>0.4198</x:v>
      </x:c>
      <x:c r="C136" s="7" t="n">
        <x:v>3381.9313</x:v>
      </x:c>
      <x:c r="D136" s="7" t="n">
        <x:v>0</x:v>
      </x:c>
      <x:c r="E136" s="7" t="n">
        <x:v>5917.717853761644</x:v>
      </x:c>
      <x:c r="F136" s="7" t="n">
        <x:v>2535.786553761643</x:v>
      </x:c>
      <x:c r="G136" s="7" t="n">
        <x:v>0</x:v>
      </x:c>
      <x:c r="H136" s="7" t="n">
        <x:v>0</x:v>
      </x:c>
      <x:c r="I136" s="7" t="n">
        <x:v>1990.5694150420975</x:v>
      </x:c>
      <x:c r="J136" s="7" t="n">
        <x:v>2391.5124735378877</x:v>
      </x:c>
      <x:c r="K136" s="7" t="n">
        <x:f t="shared" si="8">E136*'修订说明'!$B$2</x:f>
        <x:v>986.2863089602739</x:v>
      </x:c>
      <x:c r="L136" s="7" t="n">
        <x:f t="shared" si="9">B136*K136</x:f>
        <x:v>414.042992501523</x:v>
      </x:c>
    </x:row>
    <x:row r="137">
      <x:c r="A137" t="s">
        <x:v>137</x:v>
      </x:c>
      <x:c r="B137" s="7" t="n">
        <x:v>0.4186</x:v>
      </x:c>
      <x:c r="C137" s="7" t="n">
        <x:v>3386.5592</x:v>
      </x:c>
      <x:c r="D137" s="7" t="n">
        <x:v>0</x:v>
      </x:c>
      <x:c r="E137" s="7" t="n">
        <x:v>5922.345753761642</x:v>
      </x:c>
      <x:c r="F137" s="7" t="n">
        <x:v>2535.786553761666</x:v>
      </x:c>
      <x:c r="G137" s="7" t="n">
        <x:v>0</x:v>
      </x:c>
      <x:c r="H137" s="7" t="n">
        <x:v>0</x:v>
      </x:c>
      <x:c r="I137" s="7" t="n">
        <x:v>2391.5124735378877</x:v>
      </x:c>
      <x:c r="J137" s="7" t="n">
        <x:v>2792.4555320336776</x:v>
      </x:c>
      <x:c r="K137" s="7" t="n">
        <x:f t="shared" si="8">E137*'修订说明'!$B$2</x:f>
        <x:v>987.0576256269403</x:v>
      </x:c>
      <x:c r="L137" s="7" t="n">
        <x:f t="shared" si="9">B137*K137</x:f>
        <x:v>413.1823220874372</x:v>
      </x:c>
    </x:row>
    <x:row r="138">
      <x:c r="A138" t="s">
        <x:v>138</x:v>
      </x:c>
      <x:c r="B138" s="7" t="n">
        <x:v>0.4241</x:v>
      </x:c>
      <x:c r="C138" s="7" t="n">
        <x:v>3400.4846</x:v>
      </x:c>
      <x:c r="D138" s="7" t="n">
        <x:v>0</x:v>
      </x:c>
      <x:c r="E138" s="7" t="n">
        <x:v>5936.271153761643</x:v>
      </x:c>
      <x:c r="F138" s="7" t="n">
        <x:v>2535.7865537616176</x:v>
      </x:c>
      <x:c r="G138" s="7" t="n">
        <x:v>0</x:v>
      </x:c>
      <x:c r="H138" s="7" t="n">
        <x:v>0</x:v>
      </x:c>
      <x:c r="I138" s="7" t="n">
        <x:v>2792.4555320336776</x:v>
      </x:c>
      <x:c r="J138" s="7" t="n">
        <x:v>3193.3985905294685</x:v>
      </x:c>
      <x:c r="K138" s="7" t="n">
        <x:f t="shared" si="8">E138*'修订说明'!$B$2</x:f>
        <x:v>989.3785256269405</x:v>
      </x:c>
      <x:c r="L138" s="7" t="n">
        <x:f t="shared" si="9">B138*K138</x:f>
        <x:v>419.59543271838544</x:v>
      </x:c>
    </x:row>
    <x:row r="139">
      <x:c r="A139" t="s">
        <x:v>139</x:v>
      </x:c>
      <x:c r="B139" s="7" t="n">
        <x:v>0.4237</x:v>
      </x:c>
      <x:c r="C139" s="7" t="n">
        <x:v>3399.2426</x:v>
      </x:c>
      <x:c r="D139" s="7" t="n">
        <x:v>0</x:v>
      </x:c>
      <x:c r="E139" s="7" t="n">
        <x:v>5935.029153761643</x:v>
      </x:c>
      <x:c r="F139" s="7" t="n">
        <x:v>2535.7865537616367</x:v>
      </x:c>
      <x:c r="G139" s="7" t="n">
        <x:v>0</x:v>
      </x:c>
      <x:c r="H139" s="7" t="n">
        <x:v>0</x:v>
      </x:c>
      <x:c r="I139" s="7" t="n">
        <x:v>3193.3985905294685</x:v>
      </x:c>
      <x:c r="J139" s="7" t="n">
        <x:v>3594.341649025259</x:v>
      </x:c>
      <x:c r="K139" s="7" t="n">
        <x:f t="shared" si="8">E139*'修订说明'!$B$2</x:f>
        <x:v>989.1715256269405</x:v>
      </x:c>
      <x:c r="L139" s="7" t="n">
        <x:f t="shared" si="9">B139*K139</x:f>
        <x:v>419.1119754081347</x:v>
      </x:c>
    </x:row>
    <x:row r="140">
      <x:c r="A140" t="s">
        <x:v>140</x:v>
      </x:c>
      <x:c r="B140" s="7" t="n">
        <x:v>0.4248</x:v>
      </x:c>
      <x:c r="C140" s="7" t="n">
        <x:v>3406.9809</x:v>
      </x:c>
      <x:c r="D140" s="7" t="n">
        <x:v>0</x:v>
      </x:c>
      <x:c r="E140" s="7" t="n">
        <x:v>5942.767453761643</x:v>
      </x:c>
      <x:c r="F140" s="7" t="n">
        <x:v>2535.7865537616626</x:v>
      </x:c>
      <x:c r="G140" s="7" t="n">
        <x:v>0</x:v>
      </x:c>
      <x:c r="H140" s="7" t="n">
        <x:v>0</x:v>
      </x:c>
      <x:c r="I140" s="7" t="n">
        <x:v>3594.341649025259</x:v>
      </x:c>
      <x:c r="J140" s="7" t="n">
        <x:v>3995.284707521049</x:v>
      </x:c>
      <x:c r="K140" s="7" t="n">
        <x:f t="shared" si="8">E140*'修订说明'!$B$2</x:f>
        <x:v>990.4612422936071</x:v>
      </x:c>
      <x:c r="L140" s="7" t="n">
        <x:f t="shared" si="9">B140*K140</x:f>
        <x:v>420.74793572632433</x:v>
      </x:c>
    </x:row>
    <x:row r="141">
      <x:c r="A141" t="s">
        <x:v>141</x:v>
      </x:c>
      <x:c r="B141" s="7" t="n">
        <x:v>0.424</x:v>
      </x:c>
      <x:c r="C141" s="7" t="n">
        <x:v>3416.1518</x:v>
      </x:c>
      <x:c r="D141" s="7" t="n">
        <x:v>0</x:v>
      </x:c>
      <x:c r="E141" s="7" t="n">
        <x:v>5951.938353761643</x:v>
      </x:c>
      <x:c r="F141" s="7" t="n">
        <x:v>2535.7865537616367</x:v>
      </x:c>
      <x:c r="G141" s="7" t="n">
        <x:v>0</x:v>
      </x:c>
      <x:c r="H141" s="7" t="n">
        <x:v>0</x:v>
      </x:c>
      <x:c r="I141" s="7" t="n">
        <x:v>3995.284707521049</x:v>
      </x:c>
      <x:c r="J141" s="7" t="n">
        <x:v>4396.227766016839</x:v>
      </x:c>
      <x:c r="K141" s="7" t="n">
        <x:f t="shared" si="8">E141*'修订说明'!$B$2</x:f>
        <x:v>991.9897256269405</x:v>
      </x:c>
      <x:c r="L141" s="7" t="n">
        <x:f t="shared" si="9">B141*K141</x:f>
        <x:v>420.60364366582274</x:v>
      </x:c>
    </x:row>
    <x:row r="142">
      <x:c r="A142" t="s">
        <x:v>142</x:v>
      </x:c>
      <x:c r="B142" s="7" t="n">
        <x:v>0.422</x:v>
      </x:c>
      <x:c r="C142" s="7" t="n">
        <x:v>3421.9811</x:v>
      </x:c>
      <x:c r="D142" s="7" t="n">
        <x:v>0</x:v>
      </x:c>
      <x:c r="E142" s="7" t="n">
        <x:v>5957.767653761643</x:v>
      </x:c>
      <x:c r="F142" s="7" t="n">
        <x:v>2535.7865537616553</x:v>
      </x:c>
      <x:c r="G142" s="7" t="n">
        <x:v>0</x:v>
      </x:c>
      <x:c r="H142" s="7" t="n">
        <x:v>0</x:v>
      </x:c>
      <x:c r="I142" s="7" t="n">
        <x:v>4396.227766016839</x:v>
      </x:c>
      <x:c r="J142" s="7" t="n">
        <x:v>4797.170824512629</x:v>
      </x:c>
      <x:c r="K142" s="7" t="n">
        <x:f t="shared" si="8">E142*'修订说明'!$B$2</x:f>
        <x:v>992.9612756269404</x:v>
      </x:c>
      <x:c r="L142" s="7" t="n">
        <x:f t="shared" si="9">B142*K142</x:f>
        <x:v>419.02965831456885</x:v>
      </x:c>
    </x:row>
    <x:row r="143">
      <x:c r="A143" t="s">
        <x:v>143</x:v>
      </x:c>
      <x:c r="B143" s="7" t="n">
        <x:v>0.424</x:v>
      </x:c>
      <x:c r="C143" s="7" t="n">
        <x:v>3429.6923</x:v>
      </x:c>
      <x:c r="D143" s="7" t="n">
        <x:v>0</x:v>
      </x:c>
      <x:c r="E143" s="7" t="n">
        <x:v>5965.478853761643</x:v>
      </x:c>
      <x:c r="F143" s="7" t="n">
        <x:v>2535.78655376166</x:v>
      </x:c>
      <x:c r="G143" s="7" t="n">
        <x:v>0</x:v>
      </x:c>
      <x:c r="H143" s="7" t="n">
        <x:v>0</x:v>
      </x:c>
      <x:c r="I143" s="7" t="n">
        <x:v>4797.170824512629</x:v>
      </x:c>
      <x:c r="J143" s="7" t="n">
        <x:v>5198.113883008419</x:v>
      </x:c>
      <x:c r="K143" s="7" t="n">
        <x:f t="shared" si="8">E143*'修订说明'!$B$2</x:f>
        <x:v>994.2464756269405</x:v>
      </x:c>
      <x:c r="L143" s="7" t="n">
        <x:f t="shared" si="9">B143*K143</x:f>
        <x:v>421.5605056658228</x:v>
      </x:c>
    </x:row>
    <x:row r="144">
      <x:c r="A144" t="s">
        <x:v>144</x:v>
      </x:c>
      <x:c r="B144" s="7" t="n">
        <x:v>0.4271</x:v>
      </x:c>
      <x:c r="C144" s="7" t="n">
        <x:v>3439.061</x:v>
      </x:c>
      <x:c r="D144" s="7" t="n">
        <x:v>0</x:v>
      </x:c>
      <x:c r="E144" s="7" t="n">
        <x:v>5974.847553761643</x:v>
      </x:c>
      <x:c r="F144" s="7" t="n">
        <x:v>2535.786553761612</x:v>
      </x:c>
      <x:c r="G144" s="7" t="n">
        <x:v>0</x:v>
      </x:c>
      <x:c r="H144" s="7" t="n">
        <x:v>0</x:v>
      </x:c>
      <x:c r="I144" s="7" t="n">
        <x:v>5198.113883008419</x:v>
      </x:c>
      <x:c r="J144" s="7" t="n">
        <x:v>5599.05694150421</x:v>
      </x:c>
      <x:c r="K144" s="7" t="n">
        <x:f t="shared" si="8">E144*'修订说明'!$B$2</x:f>
        <x:v>995.8079256269405</x:v>
      </x:c>
      <x:c r="L144" s="7" t="n">
        <x:f t="shared" si="9">B144*K144</x:f>
        <x:v>425.30956503526625</x:v>
      </x:c>
    </x:row>
    <x:row r="145">
      <x:c r="A145" t="s">
        <x:v>145</x:v>
      </x:c>
      <x:c r="B145" s="7" t="n">
        <x:v>0.4276</x:v>
      </x:c>
      <x:c r="C145" s="7" t="n">
        <x:v>3444.7259</x:v>
      </x:c>
      <x:c r="D145" s="7" t="n">
        <x:v>0</x:v>
      </x:c>
      <x:c r="E145" s="7" t="n">
        <x:v>5980.512453761643</x:v>
      </x:c>
      <x:c r="F145" s="7" t="n">
        <x:v>2535.786553761643</x:v>
      </x:c>
      <x:c r="G145" s="7" t="n">
        <x:v>0</x:v>
      </x:c>
      <x:c r="H145" s="7" t="n">
        <x:v>0</x:v>
      </x:c>
      <x:c r="I145" s="7" t="n">
        <x:v>5599.05694150421</x:v>
      </x:c>
      <x:c r="J145" s="7" t="n">
        <x:v>6000</x:v>
      </x:c>
      <x:c r="K145" s="7" t="n">
        <x:f t="shared" si="8">E145*'修订说明'!$B$2</x:f>
        <x:v>996.7520756269405</x:v>
      </x:c>
      <x:c r="L145" s="7" t="n">
        <x:f t="shared" si="9">B145*K145</x:f>
        <x:v>426.21118753807974</x:v>
      </x:c>
    </x:row>
    <x:row r="146">
      <x:c r="A146" t="s">
        <x:v>169</x:v>
      </x:c>
      <x:c r="K146" s="7" t="n">
        <x:f>SUM(K2:K145)</x:f>
        <x:v>57560.61607674179</x:v>
      </x:c>
      <x:c r="L146" s="7" t="n">
        <x:f>SUM(L2:L145)</x:f>
        <x:v>34115.03245096839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35" hidden="0" customWidth="1"/>
    <x:col min="2" max="2" width="80" hidden="0" customWidth="1"/>
  </x:cols>
  <x:sheetData>
    <x:row r="1" ht="15">
      <x:c r="A1" s="8" t="str">
        <x:v>项目</x:v>
      </x:c>
      <x:c r="B1" s="23" t="str">
        <x:v>数值／说明</x:v>
      </x:c>
    </x:row>
    <x:row r="2">
      <x:c r="A2" t="str">
        <x:v>输入来源</x:v>
      </x:c>
      <x:c r="B2" s="11" t="str">
        <x:v>C:\Users\14051\Desktop\shuxuejianmo\附件1.xlsx</x:v>
      </x:c>
    </x:row>
    <x:row r="3">
      <x:c r="A3" t="str">
        <x:v>求解状态</x:v>
      </x:c>
      <x:c r="B3" s="24" t="str">
        <x:v>三层均达到相对间隙1e-9要求；以下记录实际值</x:v>
      </x:c>
    </x:row>
    <x:row r="4">
      <x:c r="A4" t="str">
        <x:v>第1层_stage</x:v>
      </x:c>
      <x:c r="B4" s="24" t="n">
        <x:v>1</x:v>
      </x:c>
    </x:row>
    <x:row r="5">
      <x:c r="A5" t="str">
        <x:v>第1层_objective</x:v>
      </x:c>
      <x:c r="B5" s="24" t="n">
        <x:v>34080.95139956882</x:v>
      </x:c>
    </x:row>
    <x:row r="6">
      <x:c r="A6" t="str">
        <x:v>第1层_seconds</x:v>
      </x:c>
      <x:c r="B6" s="24" t="n">
        <x:v>0.25314170000274316</x:v>
      </x:c>
    </x:row>
    <x:row r="7">
      <x:c r="A7" t="str">
        <x:v>第1层_gap</x:v>
      </x:c>
      <x:c r="B7" s="24" t="n">
        <x:v>0</x:v>
      </x:c>
    </x:row>
    <x:row r="8">
      <x:c r="A8" t="str">
        <x:v>第1层_dual_bound</x:v>
      </x:c>
      <x:c r="B8" s="24" t="n">
        <x:v>34080.95139956882</x:v>
      </x:c>
    </x:row>
    <x:row r="9">
      <x:c r="A9" t="str">
        <x:v>第1层_cost</x:v>
      </x:c>
      <x:c r="B9" s="24" t="n">
        <x:v>34080.95139956881</x:v>
      </x:c>
    </x:row>
    <x:row r="10">
      <x:c r="A10" t="str">
        <x:v>第1层_purchase</x:v>
      </x:c>
      <x:c r="B10" s="24" t="n">
        <x:v>57572.39629569831</x:v>
      </x:c>
    </x:row>
    <x:row r="11">
      <x:c r="A11" t="str">
        <x:v>第1层_cost_relax</x:v>
      </x:c>
      <x:c r="B11" s="11" t="n">
        <x:v>0.001</x:v>
      </x:c>
    </x:row>
    <x:row r="12">
      <x:c r="A12" t="str">
        <x:v>第1层_lambda_tv</x:v>
      </x:c>
      <x:c r="B12" s="24" t="n">
        <x:v>1</x:v>
      </x:c>
    </x:row>
    <x:row r="13">
      <x:c r="A13" t="str">
        <x:v>第1层_ramp_kw</x:v>
      </x:c>
      <x:c r="B13" s="24" t="n">
        <x:v>1000</x:v>
      </x:c>
    </x:row>
    <x:row r="14">
      <x:c r="A14" t="str">
        <x:v>第1层_min_on</x:v>
      </x:c>
      <x:c r="B14" s="24" t="n">
        <x:v>3</x:v>
      </x:c>
    </x:row>
    <x:row r="15">
      <x:c r="A15" t="str">
        <x:v>第1层_min_off</x:v>
      </x:c>
      <x:c r="B15" s="24" t="n">
        <x:v>2</x:v>
      </x:c>
    </x:row>
    <x:row r="16">
      <x:c r="A16" t="str">
        <x:v>第1层_constraint_residual</x:v>
      </x:c>
      <x:c r="B16" s="24" t="n">
        <x:v>2.4244297200925225e-10</x:v>
      </x:c>
    </x:row>
    <x:row r="17">
      <x:c r="A17" t="str">
        <x:v>第1层_variation_kw</x:v>
      </x:c>
      <x:c r="B17" s="24" t="n">
        <x:v>50943.2784085682</x:v>
      </x:c>
    </x:row>
    <x:row r="18">
      <x:c r="A18" t="str">
        <x:v>第1层_starts</x:v>
      </x:c>
      <x:c r="B18" s="24" t="n">
        <x:v>6</x:v>
      </x:c>
    </x:row>
    <x:row r="19">
      <x:c r="A19" t="str">
        <x:v>第1层_short_deficit</x:v>
      </x:c>
      <x:c r="B19" s="24" t="n">
        <x:v>0</x:v>
      </x:c>
    </x:row>
    <x:row r="20">
      <x:c r="A20" t="str">
        <x:v>第1层_F2</x:v>
      </x:c>
      <x:c r="B20" s="24" t="n">
        <x:v>0.05621061000595014</x:v>
      </x:c>
    </x:row>
    <x:row r="21">
      <x:c r="A21" t="str">
        <x:v>第1层_max_step_kw</x:v>
      </x:c>
      <x:c r="B21" s="24" t="n">
        <x:v>1000.0000000000209</x:v>
      </x:c>
    </x:row>
    <x:row r="22">
      <x:c r="A22" t="str">
        <x:v>第1层_short_runs</x:v>
      </x:c>
      <x:c r="B22" s="24" t="n">
        <x:v>0</x:v>
      </x:c>
    </x:row>
    <x:row r="23">
      <x:c r="A23" t="str">
        <x:v>第1层_low_power_slots</x:v>
      </x:c>
      <x:c r="B23" s="24" t="n">
        <x:v>4</x:v>
      </x:c>
    </x:row>
    <x:row r="24">
      <x:c r="A24" t="str">
        <x:v>第1层_min_run_slots</x:v>
      </x:c>
      <x:c r="B24" s="24" t="n">
        <x:v>3</x:v>
      </x:c>
    </x:row>
    <x:row r="25">
      <x:c r="A25" t="str">
        <x:v>第1层_min_closed_slots</x:v>
      </x:c>
      <x:c r="B25" s="24" t="n">
        <x:v>3</x:v>
      </x:c>
    </x:row>
    <x:row r="26">
      <x:c r="A26" t="str">
        <x:v>第2层_stage</x:v>
      </x:c>
      <x:c r="B26" s="24" t="n">
        <x:v>2</x:v>
      </x:c>
    </x:row>
    <x:row r="27">
      <x:c r="A27" t="str">
        <x:v>第2层_objective</x:v>
      </x:c>
      <x:c r="B27" s="24" t="n">
        <x:v>0.036950809762227955</x:v>
      </x:c>
    </x:row>
    <x:row r="28">
      <x:c r="A28" t="str">
        <x:v>第2层_seconds</x:v>
      </x:c>
      <x:c r="B28" s="24" t="n">
        <x:v>4.24177200000122</x:v>
      </x:c>
    </x:row>
    <x:row r="29">
      <x:c r="A29" t="str">
        <x:v>第2层_gap</x:v>
      </x:c>
      <x:c r="B29" s="24" t="n">
        <x:v>0</x:v>
      </x:c>
    </x:row>
    <x:row r="30">
      <x:c r="A30" t="str">
        <x:v>第2层_dual_bound</x:v>
      </x:c>
      <x:c r="B30" s="24" t="n">
        <x:v>0.036950809762227955</x:v>
      </x:c>
    </x:row>
    <x:row r="31">
      <x:c r="A31" t="str">
        <x:v>第2层_cost</x:v>
      </x:c>
      <x:c r="B31" s="24" t="n">
        <x:v>34115.032450968385</x:v>
      </x:c>
    </x:row>
    <x:row r="32">
      <x:c r="A32" t="str">
        <x:v>第2层_purchase</x:v>
      </x:c>
      <x:c r="B32" s="24" t="n">
        <x:v>57560.64380388696</x:v>
      </x:c>
    </x:row>
    <x:row r="33">
      <x:c r="A33" t="str">
        <x:v>第2层_cost_relax</x:v>
      </x:c>
      <x:c r="B33" s="24" t="n">
        <x:v>0.001</x:v>
      </x:c>
    </x:row>
    <x:row r="34">
      <x:c r="A34" t="str">
        <x:v>第2层_lambda_tv</x:v>
      </x:c>
      <x:c r="B34" s="24" t="n">
        <x:v>1</x:v>
      </x:c>
    </x:row>
    <x:row r="35">
      <x:c r="A35" t="str">
        <x:v>第2层_ramp_kw</x:v>
      </x:c>
      <x:c r="B35" s="24" t="n">
        <x:v>1000</x:v>
      </x:c>
    </x:row>
    <x:row r="36">
      <x:c r="A36" t="str">
        <x:v>第2层_min_on</x:v>
      </x:c>
      <x:c r="B36" s="24" t="n">
        <x:v>3</x:v>
      </x:c>
    </x:row>
    <x:row r="37">
      <x:c r="A37" t="str">
        <x:v>第2层_min_off</x:v>
      </x:c>
      <x:c r="B37" s="24" t="n">
        <x:v>2</x:v>
      </x:c>
    </x:row>
    <x:row r="38">
      <x:c r="A38" t="str">
        <x:v>第2层_constraint_residual</x:v>
      </x:c>
      <x:c r="B38" s="24" t="n">
        <x:v>2.3646862246096134e-11</x:v>
      </x:c>
    </x:row>
    <x:row r="39">
      <x:c r="A39" t="str">
        <x:v>第2层_variation_kw</x:v>
      </x:c>
      <x:c r="B39" s="24" t="n">
        <x:v>33209.16605760826</x:v>
      </x:c>
    </x:row>
    <x:row r="40">
      <x:c r="A40" t="str">
        <x:v>第2层_starts</x:v>
      </x:c>
      <x:c r="B40" s="24" t="n">
        <x:v>4</x:v>
      </x:c>
    </x:row>
    <x:row r="41">
      <x:c r="A41" t="str">
        <x:v>第2层_short_deficit</x:v>
      </x:c>
      <x:c r="B41" s="24" t="n">
        <x:v>0</x:v>
      </x:c>
    </x:row>
    <x:row r="42">
      <x:c r="A42" t="str">
        <x:v>第2层_F2</x:v>
      </x:c>
      <x:c r="B42" s="24" t="n">
        <x:v>0.036950809762227955</x:v>
      </x:c>
    </x:row>
    <x:row r="43">
      <x:c r="A43" t="str">
        <x:v>第2层_max_step_kw</x:v>
      </x:c>
      <x:c r="B43" s="24" t="n">
        <x:v>1000.0000000000236</x:v>
      </x:c>
    </x:row>
    <x:row r="44">
      <x:c r="A44" t="str">
        <x:v>第2层_short_runs</x:v>
      </x:c>
      <x:c r="B44" s="24" t="n">
        <x:v>0</x:v>
      </x:c>
    </x:row>
    <x:row r="45">
      <x:c r="A45" t="str">
        <x:v>第2层_low_power_slots</x:v>
      </x:c>
      <x:c r="B45" s="24" t="n">
        <x:v>0</x:v>
      </x:c>
    </x:row>
    <x:row r="46">
      <x:c r="A46" t="str">
        <x:v>第2层_min_run_slots</x:v>
      </x:c>
      <x:c r="B46" s="24" t="n">
        <x:v>17</x:v>
      </x:c>
    </x:row>
    <x:row r="47">
      <x:c r="A47" t="str">
        <x:v>第2层_min_closed_slots</x:v>
      </x:c>
      <x:c r="B47" s="24" t="n">
        <x:v>43</x:v>
      </x:c>
    </x:row>
    <x:row r="48">
      <x:c r="A48" t="str">
        <x:v>第3层_stage</x:v>
      </x:c>
      <x:c r="B48" s="24" t="n">
        <x:v>3</x:v>
      </x:c>
    </x:row>
    <x:row r="49">
      <x:c r="A49" t="str">
        <x:v>第3层_objective</x:v>
      </x:c>
      <x:c r="B49" s="24" t="n">
        <x:v>57560.61607674178</x:v>
      </x:c>
    </x:row>
    <x:row r="50">
      <x:c r="A50" t="str">
        <x:v>第3层_seconds</x:v>
      </x:c>
      <x:c r="B50" s="11" t="n">
        <x:v>4.62856439999814</x:v>
      </x:c>
    </x:row>
    <x:row r="51">
      <x:c r="A51" t="str">
        <x:v>第3层_gap</x:v>
      </x:c>
      <x:c r="B51" s="11" t="n">
        <x:v>0</x:v>
      </x:c>
    </x:row>
    <x:row r="52">
      <x:c r="A52" t="str">
        <x:v>第3层_dual_bound</x:v>
      </x:c>
      <x:c r="B52" s="11" t="n">
        <x:v>57560.61607674178</x:v>
      </x:c>
    </x:row>
    <x:row r="53">
      <x:c r="A53" t="str">
        <x:v>第3层_cost</x:v>
      </x:c>
      <x:c r="B53" s="11" t="n">
        <x:v>34115.03245096838</x:v>
      </x:c>
    </x:row>
    <x:row r="54">
      <x:c r="A54" t="str">
        <x:v>第3层_purchase</x:v>
      </x:c>
      <x:c r="B54" s="11" t="n">
        <x:v>57560.616076741775</x:v>
      </x:c>
    </x:row>
    <x:row r="55">
      <x:c r="A55" t="str">
        <x:v>第3层_cost_relax</x:v>
      </x:c>
      <x:c r="B55" s="11" t="n">
        <x:v>0.001</x:v>
      </x:c>
    </x:row>
    <x:row r="56">
      <x:c r="A56" t="str">
        <x:v>第3层_lambda_tv</x:v>
      </x:c>
      <x:c r="B56" s="11" t="n">
        <x:v>1</x:v>
      </x:c>
    </x:row>
    <x:row r="57">
      <x:c r="A57" t="str">
        <x:v>第3层_ramp_kw</x:v>
      </x:c>
      <x:c r="B57" s="11" t="n">
        <x:v>1000</x:v>
      </x:c>
    </x:row>
    <x:row r="58">
      <x:c r="A58" t="str">
        <x:v>第3层_min_on</x:v>
      </x:c>
      <x:c r="B58" s="11" t="n">
        <x:v>3</x:v>
      </x:c>
    </x:row>
    <x:row r="59">
      <x:c r="A59" t="str">
        <x:v>第3层_min_off</x:v>
      </x:c>
      <x:c r="B59" s="11" t="n">
        <x:v>2</x:v>
      </x:c>
    </x:row>
    <x:row r="60">
      <x:c r="A60" t="str">
        <x:v>第3层_constraint_residual</x:v>
      </x:c>
      <x:c r="B60" s="11" t="n">
        <x:v>3.0013325158506606e-10</x:v>
      </x:c>
    </x:row>
    <x:row r="61">
      <x:c r="A61" t="str">
        <x:v>第3层_variation_kw</x:v>
      </x:c>
      <x:c r="B61" s="11" t="n">
        <x:v>33209.310057608585</x:v>
      </x:c>
    </x:row>
    <x:row r="62">
      <x:c r="A62" t="str">
        <x:v>第3层_starts</x:v>
      </x:c>
      <x:c r="B62" s="11" t="n">
        <x:v>4</x:v>
      </x:c>
    </x:row>
    <x:row r="63">
      <x:c r="A63" t="str">
        <x:v>第3层_short_deficit</x:v>
      </x:c>
      <x:c r="B63" s="11" t="n">
        <x:v>0</x:v>
      </x:c>
    </x:row>
    <x:row r="64">
      <x:c r="A64" t="str">
        <x:v>第3层_F2</x:v>
      </x:c>
      <x:c r="B64" s="11" t="n">
        <x:v>0.03695090976222819</x:v>
      </x:c>
    </x:row>
    <x:row r="65">
      <x:c r="A65" t="str">
        <x:v>第3层_max_step_kw</x:v>
      </x:c>
      <x:c r="B65" s="11" t="n">
        <x:v>1000.0000000000095</x:v>
      </x:c>
    </x:row>
    <x:row r="66">
      <x:c r="A66" t="str">
        <x:v>第3层_short_runs</x:v>
      </x:c>
      <x:c r="B66" s="11" t="n">
        <x:v>0</x:v>
      </x:c>
    </x:row>
    <x:row r="67">
      <x:c r="A67" t="str">
        <x:v>第3层_low_power_slots</x:v>
      </x:c>
      <x:c r="B67" s="11" t="n">
        <x:v>0</x:v>
      </x:c>
    </x:row>
    <x:row r="68">
      <x:c r="A68" t="str">
        <x:v>第3层_min_run_slots</x:v>
      </x:c>
      <x:c r="B68" s="11" t="n">
        <x:v>17</x:v>
      </x:c>
    </x:row>
    <x:row r="69">
      <x:c r="A69" t="str">
        <x:v>第3层_min_closed_slots</x:v>
      </x:c>
      <x:c r="B69" s="11" t="n">
        <x:v>43</x:v>
      </x:c>
    </x:row>
    <x:row r="70">
      <x:c r="B70" s="11"/>
    </x:row>
    <x:row r="71">
      <x:c r="B71" s="11"/>
    </x:row>
    <x:row r="72">
      <x:c r="B72" s="11"/>
    </x:row>
    <x:row r="73">
      <x:c r="B73" s="11"/>
    </x:row>
    <x:row r="74">
      <x:c r="B74" s="11"/>
    </x:row>
    <x:row r="75">
      <x:c r="B75" s="11"/>
    </x:row>
    <x:row r="76">
      <x:c r="B76" s="11"/>
    </x:row>
    <x:row r="77">
      <x:c r="B77" s="11"/>
    </x:row>
    <x:row r="78">
      <x:c r="B78" s="11"/>
    </x:row>
    <x:row r="79">
      <x:c r="B79" s="11"/>
    </x:row>
    <x:row r="80">
      <x:c r="B80" s="11"/>
    </x:row>
    <x:row r="81">
      <x:c r="B81" s="11"/>
    </x:row>
    <x:row r="82">
      <x:c r="B82" s="11"/>
    </x:row>
    <x:row r="83">
      <x:c r="B83" s="11"/>
    </x:row>
    <x:row r="84">
      <x:c r="B84" s="11"/>
    </x:row>
    <x:row r="85">
      <x:c r="B85" s="11"/>
    </x:row>
    <x:row r="86">
      <x:c r="B86" s="11"/>
    </x:row>
    <x:row r="87">
      <x:c r="B87" s="11"/>
    </x:row>
    <x:row r="88">
      <x:c r="B88" s="11"/>
    </x:row>
    <x:row r="89">
      <x:c r="B89" s="11"/>
    </x:row>
    <x:row r="90">
      <x:c r="B90" s="11"/>
    </x:row>
    <x:row r="91">
      <x:c r="B91" s="11"/>
    </x:row>
    <x:row r="92">
      <x:c r="B92" s="11"/>
    </x:row>
    <x:row r="93">
      <x:c r="B93" s="11"/>
    </x:row>
    <x:row r="94">
      <x:c r="B94" s="11"/>
    </x:row>
    <x:row r="95">
      <x:c r="B95" s="11"/>
    </x:row>
    <x:row r="96">
      <x:c r="B96" s="11"/>
    </x:row>
    <x:row r="97">
      <x:c r="B97" s="11"/>
    </x:row>
    <x:row r="98">
      <x:c r="B98" s="11"/>
    </x:row>
    <x:row r="99">
      <x:c r="B99" s="11"/>
    </x:row>
    <x:row r="100">
      <x:c r="B100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90" hidden="0" customWidth="1"/>
  </x:cols>
  <x:sheetData>
    <x:row r="1" ht="24" customHeight="1">
      <x:c r="A1" s="17" t="str">
        <x:v>参数或说明</x:v>
      </x:c>
      <x:c r="B1" s="20" t="str">
        <x:v>本次值／说明</x:v>
      </x:c>
    </x:row>
    <x:row r="2" ht="24" customHeight="1">
      <x:c r="A2" s="15" t="str">
        <x:v>时段长度h</x:v>
      </x:c>
      <x:c r="B2" s="19" t="n">
        <x:v>0.16666666666666666</x:v>
      </x:c>
    </x:row>
    <x:row r="3" ht="24" customHeight="1">
      <x:c r="A3" s="15" t="str">
        <x:v>电池单向效率</x:v>
      </x:c>
      <x:c r="B3" s="19" t="n">
        <x:v>0.9486832980505138</x:v>
      </x:c>
    </x:row>
    <x:row r="4" ht="24" customHeight="1">
      <x:c r="A4" s="15" t="str">
        <x:v>功率变化上限kW每10分钟</x:v>
      </x:c>
      <x:c r="B4" s="19" t="n">
        <x:v>1000</x:v>
      </x:c>
    </x:row>
    <x:row r="5" ht="24" customHeight="1">
      <x:c r="A5" s="15" t="str">
        <x:v>同一模式最短运行段数</x:v>
      </x:c>
      <x:c r="B5" s="19" t="n">
        <x:v>3</x:v>
      </x:c>
    </x:row>
    <x:row r="6" ht="24" customHeight="1">
      <x:c r="A6" s="15" t="str">
        <x:v>同一模式最短关闭段数</x:v>
      </x:c>
      <x:c r="B6" s="19" t="n">
        <x:v>2</x:v>
      </x:c>
    </x:row>
    <x:row r="7" ht="24" customHeight="1">
      <x:c r="A7" s="15" t="str">
        <x:v>电费让步比例δ</x:v>
      </x:c>
      <x:c r="B7" s="21" t="n">
        <x:v>0.001</x:v>
      </x:c>
    </x:row>
    <x:row r="8" ht="24" customHeight="1">
      <x:c r="A8" s="15" t="str">
        <x:v>功率变差相对权重λ</x:v>
      </x:c>
      <x:c r="B8" s="19" t="n">
        <x:v>1</x:v>
      </x:c>
    </x:row>
    <x:row r="9" ht="24" customHeight="1">
      <x:c r="A9" s="15" t="str">
        <x:v>最低有效功率kW</x:v>
      </x:c>
      <x:c r="B9" s="19" t="n">
        <x:v>1</x:v>
      </x:c>
    </x:row>
    <x:row r="10" ht="24" customHeight="1">
      <x:c r="A10" s="15" t="str">
        <x:v>短片段参考段数</x:v>
      </x:c>
      <x:c r="B10" s="19" t="n">
        <x:v>3</x:v>
      </x:c>
    </x:row>
    <x:row r="11" ht="42" customHeight="1">
      <x:c r="A11" s="15" t="str">
        <x:v>运行限值属性</x:v>
      </x:c>
      <x:c r="B11" s="19" t="str">
        <x:v>建模候选假设，非题设/国标/设备已知限值；同一模式关闭不等于整机强制停机。</x:v>
      </x:c>
    </x:row>
    <x:row r="12" ht="42" customHeight="1">
      <x:c r="A12" s="15" t="str">
        <x:v>效率口径</x:v>
      </x:c>
      <x:c r="B12" s="19" t="str">
        <x:v>总程效率0.9；充放电互斥；初末储能均6000 kWh；循环日边界。</x:v>
      </x:c>
    </x:row>
    <x:row r="13" ht="42" customHeight="1">
      <x:c r="A13" s="15" t="str">
        <x:v>输入来源</x:v>
      </x:c>
      <x:c r="B13" s="19" t="str">
        <x:v>C:\Users\14051\Desktop\shuxuejianmo\附件1.xlsx</x:v>
      </x:c>
    </x:row>
    <x:row r="14" ht="24" customHeight="1">
      <x:c r="A14" s="15" t="str">
        <x:v>原方案电费元</x:v>
      </x:c>
      <x:c r="B14" s="19" t="n">
        <x:v>33801.495642222435</x:v>
      </x:c>
    </x:row>
    <x:row r="15" ht="24" customHeight="1">
      <x:c r="A15" s="15" t="str">
        <x:v>新增硬约束下最低电费元</x:v>
      </x:c>
      <x:c r="B15" s="19" t="n">
        <x:v>34080.95139956881</x:v>
      </x:c>
    </x:row>
    <x:row r="16" ht="24" customHeight="1">
      <x:c r="A16" s="15" t="str">
        <x:v>修订后最终电费元</x:v>
      </x:c>
      <x:c r="B16" s="19" t="n">
        <x:f>'计算明细'!L146</x:f>
        <x:v>34115.03245096839</x:v>
      </x:c>
    </x:row>
    <x:row r="17" ht="24" customHeight="1">
      <x:c r="A17" s="15" t="str">
        <x:v>相对原方案增加元</x:v>
      </x:c>
      <x:c r="B17" s="19" t="n">
        <x:f>B16-B14</x:f>
        <x:v>313.5368087459574</x:v>
      </x:c>
    </x:row>
    <x:row r="18" ht="24" customHeight="1">
      <x:c r="A18" s="15" t="str">
        <x:v>相对原方案增加比例</x:v>
      </x:c>
      <x:c r="B18" s="22" t="n">
        <x:f>B17/B14</x:f>
        <x:v>0.009275826491958818</x:v>
      </x:c>
    </x:row>
    <x:row r="19" ht="24" customHeight="1">
      <x:c r="A19" s="15" t="str">
        <x:v>功率变差原值kW</x:v>
      </x:c>
      <x:c r="B19" s="19" t="n">
        <x:v>102684.58076649159</x:v>
      </x:c>
    </x:row>
    <x:row r="20" ht="24" customHeight="1">
      <x:c r="A20" s="15" t="str">
        <x:v>功率变差新值kW</x:v>
      </x:c>
      <x:c r="B20" s="19" t="n">
        <x:v>33209.310057608585</x:v>
      </x:c>
    </x:row>
    <x:row r="21" ht="24" customHeight="1">
      <x:c r="A21" s="15" t="str">
        <x:v>启动次数原值</x:v>
      </x:c>
      <x:c r="B21" s="19" t="n">
        <x:v>12</x:v>
      </x:c>
    </x:row>
    <x:row r="22" ht="24" customHeight="1">
      <x:c r="A22" s="15" t="str">
        <x:v>启动次数新值</x:v>
      </x:c>
      <x:c r="B22" s="19" t="n">
        <x:v>4</x:v>
      </x:c>
    </x:row>
    <x:row r="23" ht="24" customHeight="1">
      <x:c r="A23" s="15" t="str">
        <x:v>新方案短于30分钟片段数</x:v>
      </x:c>
      <x:c r="B23" s="19" t="n">
        <x:v>0</x:v>
      </x:c>
    </x:row>
    <x:row r="24" ht="24" customHeight="1">
      <x:c r="A24" s="15" t="str">
        <x:v>新方案小于50kW活动时段数</x:v>
      </x:c>
      <x:c r="B24" s="19" t="n">
        <x:v>0</x:v>
      </x:c>
    </x:row>
    <x:row r="25" ht="44" customHeight="1">
      <x:c r="A25" s="15" t="str">
        <x:v>选择理由</x:v>
      </x:c>
      <x:c r="B25" s="19" t="str">
        <x:v>δ=0.1%消除本次低功率连接状态；λ=0.25至16第二层实际指标基本相同，采用等权λ=1，不声称唯一最优。</x:v>
      </x:c>
    </x:row>
    <x:row r="26" ht="44" customHeight="1">
      <x:c r="A26" s="15" t="str">
        <x:v>敏感性范围</x:v>
      </x:c>
      <x:c r="B26" s="19" t="str">
        <x:v>固定本表硬运行约束，δ取0、0.1%、0.5%；λ取0.25、1、4、16，共12组。</x:v>
      </x:c>
    </x:row>
    <x:row r="27" ht="44" customHeight="1">
      <x:c r="A27" s="15" t="str">
        <x:v>第三层容差提示</x:v>
      </x:c>
      <x:c r="B27" s="19" t="str">
        <x:v>F2容差固定1e-7；不同λ下最终细小差异可能来自容差，应比较第二层实际指标。</x:v>
      </x:c>
    </x:row>
    <x:row r="28" ht="44" customHeight="1">
      <x:c r="A28" s="15" t="str">
        <x:v>寿命结论边界</x:v>
      </x:c>
      <x:c r="B28" s="19" t="str">
        <x:v>启动/变差为运行代理指标；未校准寿命模型，不换算寿命延长比例。</x:v>
      </x:c>
    </x:row>
    <x:row r="29" ht="44" customHeight="1">
      <x:c r="A29" s="15" t="str">
        <x:v>旧Word状态</x:v>
      </x:c>
      <x:c r="B29" s="19" t="str">
        <x:v>旧文章对应原模型，不能与本修订结果混用；本次未改写Word。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0" customHeight="1">
      <x:c r="A1" s="20" t="str">
        <x:v>δ</x:v>
      </x:c>
      <x:c r="B1" s="20" t="str">
        <x:v>λ</x:v>
      </x:c>
      <x:c r="C1" s="20" t="str">
        <x:v>状态</x:v>
      </x:c>
      <x:c r="D1" s="20" t="str">
        <x:v>最低电费元</x:v>
      </x:c>
      <x:c r="E1" s="20" t="str">
        <x:v>最终电费元</x:v>
      </x:c>
      <x:c r="F1" s="20" t="str">
        <x:v>第二层变差kW</x:v>
      </x:c>
      <x:c r="G1" s="20" t="str">
        <x:v>最终变差kW</x:v>
      </x:c>
      <x:c r="H1" s="20" t="str">
        <x:v>启动次数</x:v>
      </x:c>
      <x:c r="I1" s="20" t="str">
        <x:v>短片段数</x:v>
      </x:c>
      <x:c r="J1" s="20" t="str">
        <x:v>低功率时段数</x:v>
      </x:c>
      <x:c r="K1" s="20" t="str">
        <x:v>最大变化kW</x:v>
      </x:c>
      <x:c r="L1" s="20" t="str">
        <x:v>购电量kWh</x:v>
      </x:c>
    </x:row>
    <x:row r="2" ht="24" customHeight="1">
      <x:c r="A2" s="13" t="n">
        <x:v>0</x:v>
      </x:c>
      <x:c r="B2" s="15" t="n">
        <x:v>0.25</x:v>
      </x:c>
      <x:c r="C2" s="15" t="str">
        <x:v>OK</x:v>
      </x:c>
      <x:c r="D2" s="15" t="n">
        <x:v>34080.95139956881</x:v>
      </x:c>
      <x:c r="E2" s="15" t="n">
        <x:v>34080.95149956881</x:v>
      </x:c>
      <x:c r="F2" s="15" t="n">
        <x:v>50937.27840844348</x:v>
      </x:c>
      <x:c r="G2" s="15" t="n">
        <x:v>50937.85438429039</x:v>
      </x:c>
      <x:c r="H2" s="15" t="n">
        <x:v>6</x:v>
      </x:c>
      <x:c r="I2" s="15" t="n">
        <x:v>0</x:v>
      </x:c>
      <x:c r="J2" s="15" t="n">
        <x:v>4</x:v>
      </x:c>
      <x:c r="K2" s="15" t="n">
        <x:v>1000.0000000000118</x:v>
      </x:c>
      <x:c r="L2" s="15" t="n">
        <x:v>57572.39608350599</x:v>
      </x:c>
    </x:row>
    <x:row r="3" ht="24" customHeight="1">
      <x:c r="A3" s="13" t="n">
        <x:v>0</x:v>
      </x:c>
      <x:c r="B3" s="15" t="n">
        <x:v>1</x:v>
      </x:c>
      <x:c r="C3" s="15" t="str">
        <x:v>OK</x:v>
      </x:c>
      <x:c r="D3" s="15" t="n">
        <x:v>34080.95139956881</x:v>
      </x:c>
      <x:c r="E3" s="15" t="n">
        <x:v>34080.95149956881</x:v>
      </x:c>
      <x:c r="F3" s="15" t="n">
        <x:v>50937.278408355916</x:v>
      </x:c>
      <x:c r="G3" s="15" t="n">
        <x:v>50937.42240836223</x:v>
      </x:c>
      <x:c r="H3" s="15" t="n">
        <x:v>6</x:v>
      </x:c>
      <x:c r="I3" s="15" t="n">
        <x:v>0</x:v>
      </x:c>
      <x:c r="J3" s="15" t="n">
        <x:v>4</x:v>
      </x:c>
      <x:c r="K3" s="15" t="n">
        <x:v>1000.0000000000102</x:v>
      </x:c>
      <x:c r="L3" s="15" t="n">
        <x:v>57572.39624264855</x:v>
      </x:c>
    </x:row>
    <x:row r="4" ht="24" customHeight="1">
      <x:c r="A4" s="13" t="n">
        <x:v>0</x:v>
      </x:c>
      <x:c r="B4" s="15" t="n">
        <x:v>4</x:v>
      </x:c>
      <x:c r="C4" s="15" t="str">
        <x:v>OK</x:v>
      </x:c>
      <x:c r="D4" s="15" t="n">
        <x:v>34080.95139956881</x:v>
      </x:c>
      <x:c r="E4" s="15" t="n">
        <x:v>34080.9514995688</x:v>
      </x:c>
      <x:c r="F4" s="15" t="n">
        <x:v>50937.278409784485</x:v>
      </x:c>
      <x:c r="G4" s="15" t="n">
        <x:v>50937.31440963967</x:v>
      </x:c>
      <x:c r="H4" s="15" t="n">
        <x:v>6</x:v>
      </x:c>
      <x:c r="I4" s="15" t="n">
        <x:v>0</x:v>
      </x:c>
      <x:c r="J4" s="15" t="n">
        <x:v>4</x:v>
      </x:c>
      <x:c r="K4" s="15" t="n">
        <x:v>1000.0000000000102</x:v>
      </x:c>
      <x:c r="L4" s="15" t="n">
        <x:v>57572.39628243579</x:v>
      </x:c>
    </x:row>
    <x:row r="5" ht="24" customHeight="1">
      <x:c r="A5" s="13" t="n">
        <x:v>0</x:v>
      </x:c>
      <x:c r="B5" s="15" t="n">
        <x:v>16</x:v>
      </x:c>
      <x:c r="C5" s="15" t="str">
        <x:v>OK</x:v>
      </x:c>
      <x:c r="D5" s="15" t="n">
        <x:v>34080.95139956881</x:v>
      </x:c>
      <x:c r="E5" s="15" t="n">
        <x:v>34080.95149956881</x:v>
      </x:c>
      <x:c r="F5" s="15" t="n">
        <x:v>50937.27828780775</x:v>
      </x:c>
      <x:c r="G5" s="15" t="n">
        <x:v>50937.28725902122</x:v>
      </x:c>
      <x:c r="H5" s="15" t="n">
        <x:v>6</x:v>
      </x:c>
      <x:c r="I5" s="15" t="n">
        <x:v>0</x:v>
      </x:c>
      <x:c r="J5" s="15" t="n">
        <x:v>4</x:v>
      </x:c>
      <x:c r="K5" s="15" t="n">
        <x:v>1000.0000000000102</x:v>
      </x:c>
      <x:c r="L5" s="15" t="n">
        <x:v>57572.3962924381</x:v>
      </x:c>
    </x:row>
    <x:row r="6" ht="24" customHeight="1">
      <x:c r="A6" s="13" t="n">
        <x:v>0.001</x:v>
      </x:c>
      <x:c r="B6" s="15" t="n">
        <x:v>0.25</x:v>
      </x:c>
      <x:c r="C6" s="15" t="str">
        <x:v>OK</x:v>
      </x:c>
      <x:c r="D6" s="15" t="n">
        <x:v>34080.95139956881</x:v>
      </x:c>
      <x:c r="E6" s="15" t="n">
        <x:v>34115.03245096839</x:v>
      </x:c>
      <x:c r="F6" s="15" t="n">
        <x:v>33209.16605760982</x:v>
      </x:c>
      <x:c r="G6" s="15" t="n">
        <x:v>33209.742057461524</x:v>
      </x:c>
      <x:c r="H6" s="15" t="n">
        <x:v>4</x:v>
      </x:c>
      <x:c r="I6" s="15" t="n">
        <x:v>0</x:v>
      </x:c>
      <x:c r="J6" s="15" t="n">
        <x:v>0</x:v>
      </x:c>
      <x:c r="K6" s="15" t="n">
        <x:v>1000.0000000000102</x:v>
      </x:c>
      <x:c r="L6" s="15" t="n">
        <x:v>57560.58508319663</x:v>
      </x:c>
    </x:row>
    <x:row r="7" ht="24" customHeight="1">
      <x:c r="A7" s="13" t="n">
        <x:v>0.001</x:v>
      </x:c>
      <x:c r="B7" s="15" t="n">
        <x:v>1</x:v>
      </x:c>
      <x:c r="C7" s="15" t="str">
        <x:v>OK</x:v>
      </x:c>
      <x:c r="D7" s="15" t="n">
        <x:v>34080.95139956881</x:v>
      </x:c>
      <x:c r="E7" s="15" t="n">
        <x:v>34115.03245096838</x:v>
      </x:c>
      <x:c r="F7" s="15" t="n">
        <x:v>33209.16605760826</x:v>
      </x:c>
      <x:c r="G7" s="15" t="n">
        <x:v>33209.310057608585</x:v>
      </x:c>
      <x:c r="H7" s="15" t="n">
        <x:v>4</x:v>
      </x:c>
      <x:c r="I7" s="15" t="n">
        <x:v>0</x:v>
      </x:c>
      <x:c r="J7" s="15" t="n">
        <x:v>0</x:v>
      </x:c>
      <x:c r="K7" s="15" t="n">
        <x:v>1000.0000000000095</x:v>
      </x:c>
      <x:c r="L7" s="15" t="n">
        <x:v>57560.616076741775</x:v>
      </x:c>
    </x:row>
    <x:row r="8" ht="24" customHeight="1">
      <x:c r="A8" s="13" t="n">
        <x:v>0.001</x:v>
      </x:c>
      <x:c r="B8" s="15" t="n">
        <x:v>4</x:v>
      </x:c>
      <x:c r="C8" s="15" t="str">
        <x:v>OK</x:v>
      </x:c>
      <x:c r="D8" s="15" t="n">
        <x:v>34080.95139956881</x:v>
      </x:c>
      <x:c r="E8" s="15" t="n">
        <x:v>34115.0324509684</x:v>
      </x:c>
      <x:c r="F8" s="15" t="n">
        <x:v>33209.16605760973</x:v>
      </x:c>
      <x:c r="G8" s="15" t="n">
        <x:v>33209.2020576083</x:v>
      </x:c>
      <x:c r="H8" s="15" t="n">
        <x:v>4</x:v>
      </x:c>
      <x:c r="I8" s="15" t="n">
        <x:v>0</x:v>
      </x:c>
      <x:c r="J8" s="15" t="n">
        <x:v>0</x:v>
      </x:c>
      <x:c r="K8" s="15" t="n">
        <x:v>1000.0000000000102</x:v>
      </x:c>
      <x:c r="L8" s="15" t="n">
        <x:v>57560.63434442695</x:v>
      </x:c>
    </x:row>
    <x:row r="9" ht="24" customHeight="1">
      <x:c r="A9" s="13" t="n">
        <x:v>0.001</x:v>
      </x:c>
      <x:c r="B9" s="15" t="n">
        <x:v>16</x:v>
      </x:c>
      <x:c r="C9" s="15" t="str">
        <x:v>OK</x:v>
      </x:c>
      <x:c r="D9" s="15" t="n">
        <x:v>34080.95139956881</x:v>
      </x:c>
      <x:c r="E9" s="15" t="n">
        <x:v>34115.032450968385</x:v>
      </x:c>
      <x:c r="F9" s="15" t="n">
        <x:v>33209.16605760978</x:v>
      </x:c>
      <x:c r="G9" s="15" t="n">
        <x:v>33209.17505760451</x:v>
      </x:c>
      <x:c r="H9" s="15" t="n">
        <x:v>4</x:v>
      </x:c>
      <x:c r="I9" s="15" t="n">
        <x:v>0</x:v>
      </x:c>
      <x:c r="J9" s="15" t="n">
        <x:v>0</x:v>
      </x:c>
      <x:c r="K9" s="15" t="n">
        <x:v>1000.0000000000102</x:v>
      </x:c>
      <x:c r="L9" s="15" t="n">
        <x:v>57560.641439022744</x:v>
      </x:c>
    </x:row>
    <x:row r="10" ht="24" customHeight="1">
      <x:c r="A10" s="13" t="n">
        <x:v>0.005</x:v>
      </x:c>
      <x:c r="B10" s="15" t="n">
        <x:v>0.25</x:v>
      </x:c>
      <x:c r="C10" s="15" t="str">
        <x:v>OK</x:v>
      </x:c>
      <x:c r="D10" s="15" t="n">
        <x:v>34080.95139956881</x:v>
      </x:c>
      <x:c r="E10" s="15" t="n">
        <x:v>34251.35625656666</x:v>
      </x:c>
      <x:c r="F10" s="15" t="n">
        <x:v>28513.956883969266</x:v>
      </x:c>
      <x:c r="G10" s="15" t="n">
        <x:v>28514.532883815176</x:v>
      </x:c>
      <x:c r="H10" s="15" t="n">
        <x:v>4</x:v>
      </x:c>
      <x:c r="I10" s="15" t="n">
        <x:v>0</x:v>
      </x:c>
      <x:c r="J10" s="15" t="n">
        <x:v>0</x:v>
      </x:c>
      <x:c r="K10" s="15" t="n">
        <x:v>1000.0000000000057</x:v>
      </x:c>
      <x:c r="L10" s="15" t="n">
        <x:v>57514.99266835542</x:v>
      </x:c>
    </x:row>
    <x:row r="11" ht="24" customHeight="1">
      <x:c r="A11" s="13" t="n">
        <x:v>0.005</x:v>
      </x:c>
      <x:c r="B11" s="15" t="n">
        <x:v>1</x:v>
      </x:c>
      <x:c r="C11" s="15" t="str">
        <x:v>OK</x:v>
      </x:c>
      <x:c r="D11" s="15" t="n">
        <x:v>34080.95139956881</x:v>
      </x:c>
      <x:c r="E11" s="15" t="n">
        <x:v>34251.35625656666</x:v>
      </x:c>
      <x:c r="F11" s="15" t="n">
        <x:v>28513.620061763475</x:v>
      </x:c>
      <x:c r="G11" s="15" t="n">
        <x:v>28513.764061795784</x:v>
      </x:c>
      <x:c r="H11" s="15" t="n">
        <x:v>4</x:v>
      </x:c>
      <x:c r="I11" s="15" t="n">
        <x:v>0</x:v>
      </x:c>
      <x:c r="J11" s="15" t="n">
        <x:v>0</x:v>
      </x:c>
      <x:c r="K11" s="15" t="n">
        <x:v>1000.0000000000082</x:v>
      </x:c>
      <x:c r="L11" s="15" t="n">
        <x:v>57516.32296121089</x:v>
      </x:c>
    </x:row>
    <x:row r="12" ht="24" customHeight="1">
      <x:c r="A12" s="13" t="n">
        <x:v>0.005</x:v>
      </x:c>
      <x:c r="B12" s="15" t="n">
        <x:v>4</x:v>
      </x:c>
      <x:c r="C12" s="15" t="str">
        <x:v>OK</x:v>
      </x:c>
      <x:c r="D12" s="15" t="n">
        <x:v>34080.95139956881</x:v>
      </x:c>
      <x:c r="E12" s="15" t="n">
        <x:v>34251.35625656668</x:v>
      </x:c>
      <x:c r="F12" s="15" t="n">
        <x:v>28513.35428247218</x:v>
      </x:c>
      <x:c r="G12" s="15" t="n">
        <x:v>28513.390282343353</x:v>
      </x:c>
      <x:c r="H12" s="15" t="n">
        <x:v>4</x:v>
      </x:c>
      <x:c r="I12" s="15" t="n">
        <x:v>0</x:v>
      </x:c>
      <x:c r="J12" s="15" t="n">
        <x:v>0</x:v>
      </x:c>
      <x:c r="K12" s="15" t="n">
        <x:v>1000.0000000000036</x:v>
      </x:c>
      <x:c r="L12" s="15" t="n">
        <x:v>57516.98932531066</x:v>
      </x:c>
    </x:row>
    <x:row r="13" ht="24" customHeight="1">
      <x:c r="A13" s="13" t="n">
        <x:v>0.005</x:v>
      </x:c>
      <x:c r="B13" s="15" t="n">
        <x:v>16</x:v>
      </x:c>
      <x:c r="C13" s="15" t="str">
        <x:v>OK</x:v>
      </x:c>
      <x:c r="D13" s="15" t="n">
        <x:v>34080.95139956881</x:v>
      </x:c>
      <x:c r="E13" s="15" t="n">
        <x:v>34251.35625656665</x:v>
      </x:c>
      <x:c r="F13" s="15" t="n">
        <x:v>28513.354282470096</x:v>
      </x:c>
      <x:c r="G13" s="15" t="n">
        <x:v>28513.36328247011</x:v>
      </x:c>
      <x:c r="H13" s="15" t="n">
        <x:v>4</x:v>
      </x:c>
      <x:c r="I13" s="15" t="n">
        <x:v>0</x:v>
      </x:c>
      <x:c r="J13" s="15" t="n">
        <x:v>0</x:v>
      </x:c>
      <x:c r="K13" s="15" t="n">
        <x:v>1000.000000000008</x:v>
      </x:c>
      <x:c r="L13" s="15" t="n">
        <x:v>57517.08615979164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4" customHeight="1">
      <x:c r="A1" s="17" t="str">
        <x:v>区间起点</x:v>
      </x:c>
      <x:c r="B1" s="17" t="str">
        <x:v>原充电kW</x:v>
      </x:c>
      <x:c r="C1" s="17" t="str">
        <x:v>新充电kW</x:v>
      </x:c>
      <x:c r="D1" s="17" t="str">
        <x:v>原购电kW</x:v>
      </x:c>
      <x:c r="E1" s="17" t="str">
        <x:v>新购电kW</x:v>
      </x:c>
      <x:c r="F1" s="17" t="str">
        <x:v>电价元/kWh</x:v>
      </x:c>
    </x:row>
    <x:row r="2" ht="24" customHeight="1">
      <x:c r="A2" s="15" t="str">
        <x:v>21:40</x:v>
      </x:c>
      <x:c r="B2" s="15" t="n">
        <x:v>0</x:v>
      </x:c>
      <x:c r="C2" s="15" t="n">
        <x:f>'计算明细'!F132</x:f>
        <x:v>0</x:v>
      </x:c>
      <x:c r="D2" s="15" t="n">
        <x:v>4030.1614</x:v>
      </x:c>
      <x:c r="E2" s="15" t="n">
        <x:f>'计算明细'!E132</x:f>
        <x:v>4030.1614000000045</x:v>
      </x:c>
      <x:c r="F2" s="15" t="n">
        <x:v>0.7764</x:v>
      </x:c>
    </x:row>
    <x:row r="3" ht="24" customHeight="1">
      <x:c r="A3" s="15" t="str">
        <x:v>21:50</x:v>
      </x:c>
      <x:c r="B3" s="15" t="n">
        <x:v>4999.999999999995</x:v>
      </x:c>
      <x:c r="C3" s="15" t="n">
        <x:f>'计算明细'!F133</x:f>
        <x:v>1000.0000000000082</x:v>
      </x:c>
      <x:c r="D3" s="15" t="n">
        <x:v>8362.741899999994</x:v>
      </x:c>
      <x:c r="E3" s="15" t="n">
        <x:f>'计算明细'!E133</x:f>
        <x:v>4362.7419000000045</x:v>
      </x:c>
      <x:c r="F3" s="15" t="n">
        <x:v>0.4209</x:v>
      </x:c>
    </x:row>
    <x:row r="4" ht="24" customHeight="1">
      <x:c r="A4" s="15" t="str">
        <x:v>22:00</x:v>
      </x:c>
      <x:c r="B4" s="15" t="n">
        <x:v>5000.000000000016</x:v>
      </x:c>
      <x:c r="C4" s="15" t="n">
        <x:f>'计算明细'!F134</x:f>
        <x:v>2000.0000000000255</x:v>
      </x:c>
      <x:c r="D4" s="15" t="n">
        <x:v>8309.393399999992</x:v>
      </x:c>
      <x:c r="E4" s="15" t="n">
        <x:f>'计算明细'!E134</x:f>
        <x:v>5309.3934000000045</x:v>
      </x:c>
      <x:c r="F4" s="15" t="n">
        <x:v>0.3859</x:v>
      </x:c>
    </x:row>
    <x:row r="5" ht="24" customHeight="1">
      <x:c r="A5" s="15" t="str">
        <x:v>22:10</x:v>
      </x:c>
      <x:c r="B5" s="15" t="n">
        <x:v>0</x:v>
      </x:c>
      <x:c r="C5" s="15" t="n">
        <x:f>'计算明细'!F135</x:f>
        <x:v>1999.999999999989</x:v>
      </x:c>
      <x:c r="D5" s="15" t="n">
        <x:v>3412.956299999988</x:v>
      </x:c>
      <x:c r="E5" s="15" t="n">
        <x:f>'计算明细'!E135</x:f>
        <x:v>5412.956300000004</x:v>
      </x:c>
      <x:c r="F5" s="15" t="n">
        <x:v>0.4368</x:v>
      </x:c>
    </x:row>
    <x:row r="6" ht="24" customHeight="1">
      <x:c r="A6" s="15" t="str">
        <x:v>22:20</x:v>
      </x:c>
      <x:c r="B6" s="15" t="n">
        <x:v>4999.999999999975</x:v>
      </x:c>
      <x:c r="C6" s="15" t="n">
        <x:f>'计算明细'!F136</x:f>
        <x:v>2535.786553761643</x:v>
      </x:c>
      <x:c r="D6" s="15" t="n">
        <x:v>8381.931299999995</x:v>
      </x:c>
      <x:c r="E6" s="15" t="n">
        <x:f>'计算明细'!E136</x:f>
        <x:v>5917.717853761644</x:v>
      </x:c>
      <x:c r="F6" s="15" t="n">
        <x:v>0.4198</x:v>
      </x:c>
    </x:row>
    <x:row r="7" ht="24" customHeight="1">
      <x:c r="A7" s="15" t="str">
        <x:v>22:30</x:v>
      </x:c>
      <x:c r="B7" s="15" t="n">
        <x:v>4999.99999999998</x:v>
      </x:c>
      <x:c r="C7" s="15" t="n">
        <x:f>'计算明细'!F137</x:f>
        <x:v>2535.786553761666</x:v>
      </x:c>
      <x:c r="D7" s="15" t="n">
        <x:v>8386.559199999985</x:v>
      </x:c>
      <x:c r="E7" s="15" t="n">
        <x:f>'计算明细'!E137</x:f>
        <x:v>5922.345753761642</x:v>
      </x:c>
      <x:c r="F7" s="15" t="n">
        <x:v>0.4186</x:v>
      </x:c>
    </x:row>
    <x:row r="8" ht="24" customHeight="1">
      <x:c r="A8" s="15" t="str">
        <x:v>22:40</x:v>
      </x:c>
      <x:c r="B8" s="15" t="n">
        <x:v>5.927847972188824</x:v>
      </x:c>
      <x:c r="C8" s="15" t="n">
        <x:f>'计算明细'!F138</x:f>
        <x:v>2535.7865537616176</x:v>
      </x:c>
      <x:c r="D8" s="15" t="n">
        <x:v>3406.412447972204</x:v>
      </x:c>
      <x:c r="E8" s="15" t="n">
        <x:f>'计算明细'!E138</x:f>
        <x:v>5936.271153761643</x:v>
      </x:c>
      <x:c r="F8" s="15" t="n">
        <x:v>0.4241</x:v>
      </x:c>
    </x:row>
    <x:row r="9" ht="24" customHeight="1">
      <x:c r="A9" s="15" t="str">
        <x:v>22:50</x:v>
      </x:c>
      <x:c r="B9" s="15" t="n">
        <x:v>5000.000000000085</x:v>
      </x:c>
      <x:c r="C9" s="15" t="n">
        <x:f>'计算明细'!F139</x:f>
        <x:v>2535.7865537616367</x:v>
      </x:c>
      <x:c r="D9" s="15" t="n">
        <x:v>8399.24260000003</x:v>
      </x:c>
      <x:c r="E9" s="15" t="n">
        <x:f>'计算明细'!E139</x:f>
        <x:v>5935.029153761643</x:v>
      </x:c>
      <x:c r="F9" s="15" t="n">
        <x:v>0.4237</x:v>
      </x:c>
    </x:row>
    <x:row r="10" ht="24" customHeight="1">
      <x:c r="A10" s="15" t="str">
        <x:v>23:00</x:v>
      </x:c>
      <x:c r="B10" s="15" t="n">
        <x:v>0</x:v>
      </x:c>
      <x:c r="C10" s="15" t="n">
        <x:f>'计算明细'!F140</x:f>
        <x:v>2535.7865537616626</x:v>
      </x:c>
      <x:c r="D10" s="15" t="n">
        <x:v>3406.980900000002</x:v>
      </x:c>
      <x:c r="E10" s="15" t="n">
        <x:f>'计算明细'!E140</x:f>
        <x:v>5942.767453761643</x:v>
      </x:c>
      <x:c r="F10" s="15" t="n">
        <x:v>0.4248</x:v>
      </x:c>
    </x:row>
    <x:row r="11" ht="24" customHeight="1">
      <x:c r="A11" s="15" t="str">
        <x:v>23:10</x:v>
      </x:c>
      <x:c r="B11" s="15" t="n">
        <x:v>0.9999999999808997</x:v>
      </x:c>
      <x:c r="C11" s="15" t="n">
        <x:f>'计算明细'!F141</x:f>
        <x:v>2535.7865537616367</x:v>
      </x:c>
      <x:c r="D11" s="15" t="n">
        <x:v>3417.151799999996</x:v>
      </x:c>
      <x:c r="E11" s="15" t="n">
        <x:f>'计算明细'!E141</x:f>
        <x:v>5951.938353761643</x:v>
      </x:c>
      <x:c r="F11" s="15" t="n">
        <x:v>0.424</x:v>
      </x:c>
    </x:row>
    <x:row r="12" ht="24" customHeight="1">
      <x:c r="A12" s="15" t="str">
        <x:v>23:20</x:v>
      </x:c>
      <x:c r="B12" s="15" t="n">
        <x:v>5000.000000000046</x:v>
      </x:c>
      <x:c r="C12" s="15" t="n">
        <x:f>'计算明细'!F142</x:f>
        <x:v>2535.7865537616553</x:v>
      </x:c>
      <x:c r="D12" s="15" t="n">
        <x:v>8421.981099999995</x:v>
      </x:c>
      <x:c r="E12" s="15" t="n">
        <x:f>'计算明细'!E142</x:f>
        <x:v>5957.767653761643</x:v>
      </x:c>
      <x:c r="F12" s="15" t="n">
        <x:v>0.422</x:v>
      </x:c>
    </x:row>
    <x:row r="13" ht="24" customHeight="1">
      <x:c r="A13" s="15" t="str">
        <x:v>23:30</x:v>
      </x:c>
      <x:c r="B13" s="15" t="n">
        <x:v>350.9376896443346</x:v>
      </x:c>
      <x:c r="C13" s="15" t="n">
        <x:f>'计算明细'!F143</x:f>
        <x:v>2535.78655376166</x:v>
      </x:c>
      <x:c r="D13" s="15" t="n">
        <x:v>3780.629989644243</x:v>
      </x:c>
      <x:c r="E13" s="15" t="n">
        <x:f>'计算明细'!E143</x:f>
        <x:v>5965.478853761643</x:v>
      </x:c>
      <x:c r="F13" s="15" t="n">
        <x:v>0.424</x:v>
      </x:c>
    </x:row>
    <x:row r="14" ht="24" customHeight="1">
      <x:c r="A14" s="15" t="str">
        <x:v>23:40</x:v>
      </x:c>
      <x:c r="B14" s="15" t="n">
        <x:v>0</x:v>
      </x:c>
      <x:c r="C14" s="15" t="n">
        <x:f>'计算明细'!F144</x:f>
        <x:v>2535.786553761612</x:v>
      </x:c>
      <x:c r="D14" s="15" t="n">
        <x:v>3439.061000000045</x:v>
      </x:c>
      <x:c r="E14" s="15" t="n">
        <x:f>'计算明细'!E144</x:f>
        <x:v>5974.847553761643</x:v>
      </x:c>
      <x:c r="F14" s="15" t="n">
        <x:v>0.4271</x:v>
      </x:c>
    </x:row>
    <x:row r="15" ht="24" customHeight="1">
      <x:c r="A15" s="15" t="str">
        <x:v>23:50</x:v>
      </x:c>
      <x:c r="B15" s="15" t="n">
        <x:v>0</x:v>
      </x:c>
      <x:c r="C15" s="15" t="n">
        <x:f>'计算明细'!F145</x:f>
        <x:v>2535.786553761643</x:v>
      </x:c>
      <x:c r="D15" s="15" t="n">
        <x:v>3444.7259</x:v>
      </x:c>
      <x:c r="E15" s="15" t="n">
        <x:f>'计算明细'!E145</x:f>
        <x:v>5980.512453761643</x:v>
      </x:c>
      <x:c r="F15" s="15" t="n">
        <x:v>0.4276</x:v>
      </x:c>
    </x:row>
    <x:row r="16" ht="24" customHeight="1">
      <x:c r="A16" s="15"/>
      <x:c r="B16" s="15"/>
      <x:c r="C16" s="15"/>
      <x:c r="D16" s="15"/>
      <x:c r="E16" s="15"/>
      <x:c r="F16" s="15"/>
    </x:row>
    <x:row r="17" ht="24" customHeight="1">
      <x:c r="A17" s="19" t="str">
        <x:v>曲线连接区间平均功率点，不代表区间内连续实测轨迹；购电功率单位为kW，不是kWh。</x:v>
      </x:c>
      <x:c r="B17" s="19"/>
      <x:c r="C17" s="19"/>
      <x:c r="D17" s="19"/>
      <x:c r="E17" s="19"/>
      <x:c r="F17" s="19"/>
    </x:row>
    <x:row r="18" ht="24" customHeight="1">
      <x:c r="A18" s="19"/>
      <x:c r="B18" s="19"/>
      <x:c r="C18" s="19"/>
      <x:c r="D18" s="19"/>
      <x:c r="E18" s="19"/>
      <x:c r="F18" s="19"/>
    </x:row>
  </x:sheetData>
  <x:mergeCells>
    <x:mergeCell ref="A17:F18"/>
  </x:mergeCells>
  <x:pageMargins left="0.7" right="0.7" top="0.75" bottom="0.75" header="0.3" footer="0.3"/>
  <x:drawing xmlns:r="http://schemas.openxmlformats.org/officeDocument/2006/relationships" r:id="R6ada9119529441bb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29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44" customHeight="1">
      <x:c r="A1" s="30" t="str">
        <x:v>编号</x:v>
      </x:c>
      <x:c r="B1" s="30" t="str">
        <x:v>计划表列</x:v>
      </x:c>
      <x:c r="C1" s="30" t="str">
        <x:v>调整层次</x:v>
      </x:c>
      <x:c r="D1" s="30" t="str">
        <x:v>本次变化</x:v>
      </x:c>
      <x:c r="E1" s="30" t="str">
        <x:v>电费让步δ</x:v>
      </x:c>
      <x:c r="F1" s="30" t="str">
        <x:v>变化上限kW/10分</x:v>
      </x:c>
      <x:c r="G1" s="30" t="str">
        <x:v>最短运行分钟</x:v>
      </x:c>
      <x:c r="H1" s="30" t="str">
        <x:v>同模式关闭分钟</x:v>
      </x:c>
      <x:c r="I1" s="30" t="str">
        <x:v>变差权重λ</x:v>
      </x:c>
      <x:c r="J1" s="30" t="str">
        <x:v>第三层退让ρ</x:v>
      </x:c>
    </x:row>
    <x:row r="2" ht="25" customHeight="1">
      <x:c r="A2" s="27" t="str">
        <x:v>S00</x:v>
      </x:c>
      <x:c r="B2" s="27" t="str">
        <x:v>B</x:v>
      </x:c>
      <x:c r="C2" s="27" t="str">
        <x:v>基准</x:v>
      </x:c>
      <x:c r="D2" s="27" t="str">
        <x:v>基准</x:v>
      </x:c>
      <x:c r="E2" s="31" t="n">
        <x:v>0.001</x:v>
      </x:c>
      <x:c r="F2" s="33" t="n">
        <x:v>1000</x:v>
      </x:c>
      <x:c r="G2" s="33" t="n">
        <x:v>30</x:v>
      </x:c>
      <x:c r="H2" s="33" t="n">
        <x:v>20</x:v>
      </x:c>
      <x:c r="I2" s="33" t="n">
        <x:v>1</x:v>
      </x:c>
      <x:c r="J2" s="32" t="n">
        <x:v>0</x:v>
      </x:c>
    </x:row>
    <x:row r="3" ht="25" customHeight="1">
      <x:c r="A3" s="27" t="str">
        <x:v>S01</x:v>
      </x:c>
      <x:c r="B3" s="27" t="str">
        <x:v>D</x:v>
      </x:c>
      <x:c r="C3" s="27" t="str">
        <x:v>第一层</x:v>
      </x:c>
      <x:c r="D3" s="27" t="str">
        <x:v>电费让步0%</x:v>
      </x:c>
      <x:c r="E3" s="31" t="n">
        <x:v>0</x:v>
      </x:c>
      <x:c r="F3" s="33" t="n">
        <x:v>1000</x:v>
      </x:c>
      <x:c r="G3" s="33" t="n">
        <x:v>30</x:v>
      </x:c>
      <x:c r="H3" s="33" t="n">
        <x:v>20</x:v>
      </x:c>
      <x:c r="I3" s="33" t="n">
        <x:v>1</x:v>
      </x:c>
      <x:c r="J3" s="32" t="n">
        <x:v>0</x:v>
      </x:c>
    </x:row>
    <x:row r="4" ht="25" customHeight="1">
      <x:c r="A4" s="27" t="str">
        <x:v>S02</x:v>
      </x:c>
      <x:c r="B4" s="27" t="str">
        <x:v>E</x:v>
      </x:c>
      <x:c r="C4" s="27" t="str">
        <x:v>第一层</x:v>
      </x:c>
      <x:c r="D4" s="27" t="str">
        <x:v>电费让步0.05%</x:v>
      </x:c>
      <x:c r="E4" s="31" t="n">
        <x:v>0.0005</x:v>
      </x:c>
      <x:c r="F4" s="33" t="n">
        <x:v>1000</x:v>
      </x:c>
      <x:c r="G4" s="33" t="n">
        <x:v>30</x:v>
      </x:c>
      <x:c r="H4" s="33" t="n">
        <x:v>20</x:v>
      </x:c>
      <x:c r="I4" s="33" t="n">
        <x:v>1</x:v>
      </x:c>
      <x:c r="J4" s="32" t="n">
        <x:v>0</x:v>
      </x:c>
    </x:row>
    <x:row r="5" ht="25" customHeight="1">
      <x:c r="A5" s="27" t="str">
        <x:v>S03</x:v>
      </x:c>
      <x:c r="B5" s="27" t="str">
        <x:v>F</x:v>
      </x:c>
      <x:c r="C5" s="27" t="str">
        <x:v>第一层</x:v>
      </x:c>
      <x:c r="D5" s="27" t="str">
        <x:v>电费让步0.2%</x:v>
      </x:c>
      <x:c r="E5" s="31" t="n">
        <x:v>0.002</x:v>
      </x:c>
      <x:c r="F5" s="33" t="n">
        <x:v>1000</x:v>
      </x:c>
      <x:c r="G5" s="33" t="n">
        <x:v>30</x:v>
      </x:c>
      <x:c r="H5" s="33" t="n">
        <x:v>20</x:v>
      </x:c>
      <x:c r="I5" s="33" t="n">
        <x:v>1</x:v>
      </x:c>
      <x:c r="J5" s="32" t="n">
        <x:v>0</x:v>
      </x:c>
    </x:row>
    <x:row r="6" ht="25" customHeight="1">
      <x:c r="A6" s="27" t="str">
        <x:v>S04</x:v>
      </x:c>
      <x:c r="B6" s="27" t="str">
        <x:v>G</x:v>
      </x:c>
      <x:c r="C6" s="27" t="str">
        <x:v>第一层</x:v>
      </x:c>
      <x:c r="D6" s="27" t="str">
        <x:v>电费让步0.5%</x:v>
      </x:c>
      <x:c r="E6" s="31" t="n">
        <x:v>0.005</x:v>
      </x:c>
      <x:c r="F6" s="33" t="n">
        <x:v>1000</x:v>
      </x:c>
      <x:c r="G6" s="33" t="n">
        <x:v>30</x:v>
      </x:c>
      <x:c r="H6" s="33" t="n">
        <x:v>20</x:v>
      </x:c>
      <x:c r="I6" s="33" t="n">
        <x:v>1</x:v>
      </x:c>
      <x:c r="J6" s="32" t="n">
        <x:v>0</x:v>
      </x:c>
    </x:row>
    <x:row r="7" ht="25" customHeight="1">
      <x:c r="A7" s="27" t="str">
        <x:v>S05</x:v>
      </x:c>
      <x:c r="B7" s="27" t="str">
        <x:v>H</x:v>
      </x:c>
      <x:c r="C7" s="27" t="str">
        <x:v>第二层硬约束</x:v>
      </x:c>
      <x:c r="D7" s="27" t="str">
        <x:v>功率变化500kW</x:v>
      </x:c>
      <x:c r="E7" s="31" t="n">
        <x:v>0.001</x:v>
      </x:c>
      <x:c r="F7" s="33" t="n">
        <x:v>500</x:v>
      </x:c>
      <x:c r="G7" s="33" t="n">
        <x:v>30</x:v>
      </x:c>
      <x:c r="H7" s="33" t="n">
        <x:v>20</x:v>
      </x:c>
      <x:c r="I7" s="33" t="n">
        <x:v>1</x:v>
      </x:c>
      <x:c r="J7" s="32" t="n">
        <x:v>0</x:v>
      </x:c>
    </x:row>
    <x:row r="8" ht="25" customHeight="1">
      <x:c r="A8" s="27" t="str">
        <x:v>S06</x:v>
      </x:c>
      <x:c r="B8" s="27" t="str">
        <x:v>I</x:v>
      </x:c>
      <x:c r="C8" s="27" t="str">
        <x:v>第二层硬约束</x:v>
      </x:c>
      <x:c r="D8" s="27" t="str">
        <x:v>功率变化2000kW</x:v>
      </x:c>
      <x:c r="E8" s="31" t="n">
        <x:v>0.001</x:v>
      </x:c>
      <x:c r="F8" s="33" t="n">
        <x:v>2000</x:v>
      </x:c>
      <x:c r="G8" s="33" t="n">
        <x:v>30</x:v>
      </x:c>
      <x:c r="H8" s="33" t="n">
        <x:v>20</x:v>
      </x:c>
      <x:c r="I8" s="33" t="n">
        <x:v>1</x:v>
      </x:c>
      <x:c r="J8" s="32" t="n">
        <x:v>0</x:v>
      </x:c>
    </x:row>
    <x:row r="9" ht="25" customHeight="1">
      <x:c r="A9" s="27" t="str">
        <x:v>S07</x:v>
      </x:c>
      <x:c r="B9" s="27" t="str">
        <x:v>J</x:v>
      </x:c>
      <x:c r="C9" s="27" t="str">
        <x:v>第二层硬约束</x:v>
      </x:c>
      <x:c r="D9" s="27" t="str">
        <x:v>最短运行60分钟</x:v>
      </x:c>
      <x:c r="E9" s="31" t="n">
        <x:v>0.001</x:v>
      </x:c>
      <x:c r="F9" s="33" t="n">
        <x:v>1000</x:v>
      </x:c>
      <x:c r="G9" s="33" t="n">
        <x:v>60</x:v>
      </x:c>
      <x:c r="H9" s="33" t="n">
        <x:v>20</x:v>
      </x:c>
      <x:c r="I9" s="33" t="n">
        <x:v>1</x:v>
      </x:c>
      <x:c r="J9" s="32" t="n">
        <x:v>0</x:v>
      </x:c>
    </x:row>
    <x:row r="10" ht="25" customHeight="1">
      <x:c r="A10" s="27" t="str">
        <x:v>S08</x:v>
      </x:c>
      <x:c r="B10" s="27" t="str">
        <x:v>K</x:v>
      </x:c>
      <x:c r="C10" s="27" t="str">
        <x:v>第二层硬约束</x:v>
      </x:c>
      <x:c r="D10" s="27" t="str">
        <x:v>最短运行180分钟</x:v>
      </x:c>
      <x:c r="E10" s="31" t="n">
        <x:v>0.001</x:v>
      </x:c>
      <x:c r="F10" s="33" t="n">
        <x:v>1000</x:v>
      </x:c>
      <x:c r="G10" s="33" t="n">
        <x:v>180</x:v>
      </x:c>
      <x:c r="H10" s="33" t="n">
        <x:v>20</x:v>
      </x:c>
      <x:c r="I10" s="33" t="n">
        <x:v>1</x:v>
      </x:c>
      <x:c r="J10" s="32" t="n">
        <x:v>0</x:v>
      </x:c>
    </x:row>
    <x:row r="11" ht="25" customHeight="1">
      <x:c r="A11" s="27" t="str">
        <x:v>S09</x:v>
      </x:c>
      <x:c r="B11" s="27" t="str">
        <x:v>L</x:v>
      </x:c>
      <x:c r="C11" s="27" t="str">
        <x:v>第二层硬约束</x:v>
      </x:c>
      <x:c r="D11" s="27" t="str">
        <x:v>同模式最短关闭60分钟</x:v>
      </x:c>
      <x:c r="E11" s="31" t="n">
        <x:v>0.001</x:v>
      </x:c>
      <x:c r="F11" s="33" t="n">
        <x:v>1000</x:v>
      </x:c>
      <x:c r="G11" s="33" t="n">
        <x:v>30</x:v>
      </x:c>
      <x:c r="H11" s="33" t="n">
        <x:v>60</x:v>
      </x:c>
      <x:c r="I11" s="33" t="n">
        <x:v>1</x:v>
      </x:c>
      <x:c r="J11" s="32" t="n">
        <x:v>0</x:v>
      </x:c>
    </x:row>
    <x:row r="12" ht="25" customHeight="1">
      <x:c r="A12" s="27" t="str">
        <x:v>S10</x:v>
      </x:c>
      <x:c r="B12" s="27" t="str">
        <x:v>M</x:v>
      </x:c>
      <x:c r="C12" s="27" t="str">
        <x:v>第二层硬约束</x:v>
      </x:c>
      <x:c r="D12" s="27" t="str">
        <x:v>同模式最短关闭120分钟</x:v>
      </x:c>
      <x:c r="E12" s="31" t="n">
        <x:v>0.001</x:v>
      </x:c>
      <x:c r="F12" s="33" t="n">
        <x:v>1000</x:v>
      </x:c>
      <x:c r="G12" s="33" t="n">
        <x:v>30</x:v>
      </x:c>
      <x:c r="H12" s="33" t="n">
        <x:v>120</x:v>
      </x:c>
      <x:c r="I12" s="33" t="n">
        <x:v>1</x:v>
      </x:c>
      <x:c r="J12" s="32" t="n">
        <x:v>0</x:v>
      </x:c>
    </x:row>
    <x:row r="13" ht="25" customHeight="1">
      <x:c r="A13" s="27" t="str">
        <x:v>S11</x:v>
      </x:c>
      <x:c r="B13" s="27" t="str">
        <x:v>N</x:v>
      </x:c>
      <x:c r="C13" s="27" t="str">
        <x:v>第二层惩罚</x:v>
      </x:c>
      <x:c r="D13" s="27" t="str">
        <x:v>功率变差权重0.25</x:v>
      </x:c>
      <x:c r="E13" s="31" t="n">
        <x:v>0.001</x:v>
      </x:c>
      <x:c r="F13" s="33" t="n">
        <x:v>1000</x:v>
      </x:c>
      <x:c r="G13" s="33" t="n">
        <x:v>30</x:v>
      </x:c>
      <x:c r="H13" s="33" t="n">
        <x:v>20</x:v>
      </x:c>
      <x:c r="I13" s="33" t="n">
        <x:v>0.25</x:v>
      </x:c>
      <x:c r="J13" s="32" t="n">
        <x:v>0</x:v>
      </x:c>
    </x:row>
    <x:row r="14" ht="25" customHeight="1">
      <x:c r="A14" s="27" t="str">
        <x:v>S12</x:v>
      </x:c>
      <x:c r="B14" s="27" t="str">
        <x:v>O</x:v>
      </x:c>
      <x:c r="C14" s="27" t="str">
        <x:v>第二层惩罚</x:v>
      </x:c>
      <x:c r="D14" s="27" t="str">
        <x:v>功率变差权重4</x:v>
      </x:c>
      <x:c r="E14" s="31" t="n">
        <x:v>0.001</x:v>
      </x:c>
      <x:c r="F14" s="33" t="n">
        <x:v>1000</x:v>
      </x:c>
      <x:c r="G14" s="33" t="n">
        <x:v>30</x:v>
      </x:c>
      <x:c r="H14" s="33" t="n">
        <x:v>20</x:v>
      </x:c>
      <x:c r="I14" s="33" t="n">
        <x:v>4</x:v>
      </x:c>
      <x:c r="J14" s="32" t="n">
        <x:v>0</x:v>
      </x:c>
    </x:row>
    <x:row r="15" ht="25" customHeight="1">
      <x:c r="A15" s="27" t="str">
        <x:v>S13</x:v>
      </x:c>
      <x:c r="B15" s="27" t="str">
        <x:v>P</x:v>
      </x:c>
      <x:c r="C15" s="27" t="str">
        <x:v>第三层</x:v>
      </x:c>
      <x:c r="D15" s="27" t="str">
        <x:v>平稳性退让0.5%</x:v>
      </x:c>
      <x:c r="E15" s="31" t="n">
        <x:v>0.001</x:v>
      </x:c>
      <x:c r="F15" s="33" t="n">
        <x:v>1000</x:v>
      </x:c>
      <x:c r="G15" s="33" t="n">
        <x:v>30</x:v>
      </x:c>
      <x:c r="H15" s="33" t="n">
        <x:v>20</x:v>
      </x:c>
      <x:c r="I15" s="33" t="n">
        <x:v>1</x:v>
      </x:c>
      <x:c r="J15" s="32" t="n">
        <x:v>0.005</x:v>
      </x:c>
    </x:row>
    <x:row r="16" ht="25" customHeight="1">
      <x:c r="A16" s="27" t="str">
        <x:v>S14</x:v>
      </x:c>
      <x:c r="B16" s="27" t="str">
        <x:v>Q</x:v>
      </x:c>
      <x:c r="C16" s="27" t="str">
        <x:v>第三层</x:v>
      </x:c>
      <x:c r="D16" s="27" t="str">
        <x:v>平稳性退让2%</x:v>
      </x:c>
      <x:c r="E16" s="31" t="n">
        <x:v>0.001</x:v>
      </x:c>
      <x:c r="F16" s="33" t="n">
        <x:v>1000</x:v>
      </x:c>
      <x:c r="G16" s="33" t="n">
        <x:v>30</x:v>
      </x:c>
      <x:c r="H16" s="33" t="n">
        <x:v>20</x:v>
      </x:c>
      <x:c r="I16" s="33" t="n">
        <x:v>1</x:v>
      </x:c>
      <x:c r="J16" s="32" t="n">
        <x:v>0.02</x:v>
      </x:c>
    </x:row>
    <x:row r="17" ht="25" customHeight="1">
      <x:c r="A17" s="27" t="str">
        <x:v>S15</x:v>
      </x:c>
      <x:c r="B17" s="27" t="str">
        <x:v>R</x:v>
      </x:c>
      <x:c r="C17" s="27" t="str">
        <x:v>第三层</x:v>
      </x:c>
      <x:c r="D17" s="27" t="str">
        <x:v>平稳性退让5%</x:v>
      </x:c>
      <x:c r="E17" s="31" t="n">
        <x:v>0.001</x:v>
      </x:c>
      <x:c r="F17" s="33" t="n">
        <x:v>1000</x:v>
      </x:c>
      <x:c r="G17" s="33" t="n">
        <x:v>30</x:v>
      </x:c>
      <x:c r="H17" s="33" t="n">
        <x:v>20</x:v>
      </x:c>
      <x:c r="I17" s="33" t="n">
        <x:v>1</x:v>
      </x:c>
      <x:c r="J17" s="32" t="n">
        <x:v>0.05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</x:cols>
  <x:sheetData>
    <x:row r="1" ht="44" customHeight="1">
      <x:c r="A1" s="30" t="str">
        <x:v>编号</x:v>
      </x:c>
      <x:c r="B1" s="30" t="str">
        <x:v>全天购电kWh</x:v>
      </x:c>
      <x:c r="C1" s="30" t="str">
        <x:v>较基准变化kWh</x:v>
      </x:c>
      <x:c r="D1" s="30" t="str">
        <x:v>相对变化</x:v>
      </x:c>
      <x:c r="E1" s="30" t="str">
        <x:v>最大时段差kWh</x:v>
      </x:c>
      <x:c r="F1" s="30" t="str">
        <x:v>变化时段数</x:v>
      </x:c>
      <x:c r="G1" s="30" t="str">
        <x:v>启动次数</x:v>
      </x:c>
      <x:c r="H1" s="30" t="str">
        <x:v>功率总变差kW</x:v>
      </x:c>
      <x:c r="I1" s="30" t="str">
        <x:v>最大变化kW</x:v>
      </x:c>
      <x:c r="J1" s="30" t="str">
        <x:v>短于30分段数</x:v>
      </x:c>
      <x:c r="K1" s="30" t="str">
        <x:v>低功率时段数</x:v>
      </x:c>
      <x:c r="L1" s="30" t="str">
        <x:v>求解状态</x:v>
      </x:c>
    </x:row>
    <x:row r="2" ht="25" customHeight="1">
      <x:c r="A2" s="27" t="str">
        <x:v>S00</x:v>
      </x:c>
      <x:c r="B2" s="27" t="n">
        <x:f>SUM('计划购电量'!B2:B145)</x:f>
        <x:v>57560.61607674179</x:v>
      </x:c>
      <x:c r="C2" s="27" t="n">
        <x:f>B2-$B$2</x:f>
        <x:v>0</x:v>
      </x:c>
      <x:c r="D2" s="34" t="n">
        <x:f>C2/$B$2</x:f>
        <x:v>0</x:v>
      </x:c>
      <x:c r="E2" s="27" t="n">
        <x:f>0</x:f>
        <x:v>0</x:v>
      </x:c>
      <x:c r="F2" s="35" t="n">
        <x:f>0</x:f>
        <x:v>0</x:v>
      </x:c>
      <x:c r="G2" s="35" t="n">
        <x:v>4</x:v>
      </x:c>
      <x:c r="H2" s="27" t="n">
        <x:v>33209.3100576085</x:v>
      </x:c>
      <x:c r="I2" s="27" t="n">
        <x:v>1000.0000000000102</x:v>
      </x:c>
      <x:c r="J2" s="35" t="n">
        <x:v>0</x:v>
      </x:c>
      <x:c r="K2" s="35" t="n">
        <x:v>0</x:v>
      </x:c>
      <x:c r="L2" s="27" t="str">
        <x:v>通过约束和最优性校验</x:v>
      </x:c>
    </x:row>
    <x:row r="3" ht="25" customHeight="1">
      <x:c r="A3" s="27" t="str">
        <x:v>S01</x:v>
      </x:c>
      <x:c r="B3" s="27" t="n">
        <x:f>SUM('计划购电量'!D2:D145)</x:f>
        <x:v>57572.39624264855</x:v>
      </x:c>
      <x:c r="C3" s="27" t="n">
        <x:f>B3-$B$2</x:f>
        <x:v>11.780165906762704</x:v>
      </x:c>
      <x:c r="D3" s="34" t="n">
        <x:f>C3/$B$2</x:f>
        <x:v>0.0002046567029626122</x:v>
      </x:c>
      <x:c r="E3" s="27" t="n">
        <x:f>MAX(MAX('购电量差值'!B2:B145),-MIN('购电量差值'!B2:B145))</x:f>
        <x:v>417.85955179206417</x:v>
      </x:c>
      <x:c r="F3" s="35" t="n">
        <x:f>COUNTIF('购电量差值'!B2:B145,"&gt;0.001")+COUNTIF('购电量差值'!B2:B145,"&lt;-0.001")</x:f>
        <x:v>48</x:v>
      </x:c>
      <x:c r="G3" s="35" t="n">
        <x:v>6</x:v>
      </x:c>
      <x:c r="H3" s="27" t="n">
        <x:v>50937.42240836223</x:v>
      </x:c>
      <x:c r="I3" s="27" t="n">
        <x:v>1000.0000000000102</x:v>
      </x:c>
      <x:c r="J3" s="35" t="n">
        <x:v>0</x:v>
      </x:c>
      <x:c r="K3" s="35" t="n">
        <x:v>4</x:v>
      </x:c>
      <x:c r="L3" s="27" t="str">
        <x:v>通过约束和最优性校验</x:v>
      </x:c>
    </x:row>
    <x:row r="4" ht="25" customHeight="1">
      <x:c r="A4" s="27" t="str">
        <x:v>S02</x:v>
      </x:c>
      <x:c r="B4" s="27" t="n">
        <x:f>SUM('计划购电量'!E2:E145)</x:f>
        <x:v>57570.68697262369</x:v>
      </x:c>
      <x:c r="C4" s="27" t="n">
        <x:f>B4-$B$2</x:f>
        <x:v>10.070895881901379</x:v>
      </x:c>
      <x:c r="D4" s="34" t="n">
        <x:f>C4/$B$2</x:f>
        <x:v>0.00017496157213596383</x:v>
      </x:c>
      <x:c r="E4" s="27" t="n">
        <x:f>MAX(MAX('购电量差值'!C2:C145),-MIN('购电量差值'!C2:C145))</x:f>
        <x:v>61.71669443963578</x:v>
      </x:c>
      <x:c r="F4" s="35" t="n">
        <x:f>COUNTIF('购电量差值'!C2:C145,"&gt;0.001")+COUNTIF('购电量差值'!C2:C145,"&lt;-0.001")</x:f>
        <x:v>21</x:v>
      </x:c>
      <x:c r="G4" s="35" t="n">
        <x:v>6</x:v>
      </x:c>
      <x:c r="H4" s="27" t="n">
        <x:v>34345.40705790112</x:v>
      </x:c>
      <x:c r="I4" s="27" t="n">
        <x:v>1000.0000000000612</x:v>
      </x:c>
      <x:c r="J4" s="35" t="n">
        <x:v>0</x:v>
      </x:c>
      <x:c r="K4" s="35" t="n">
        <x:v>1</x:v>
      </x:c>
      <x:c r="L4" s="27" t="str">
        <x:v>通过约束和最优性校验</x:v>
      </x:c>
    </x:row>
    <x:row r="5" ht="25" customHeight="1">
      <x:c r="A5" s="27" t="str">
        <x:v>S03</x:v>
      </x:c>
      <x:c r="B5" s="27" t="n">
        <x:f>SUM('计划购电量'!F2:F145)</x:f>
        <x:v>57552.98159433211</x:v>
      </x:c>
      <x:c r="C5" s="27" t="n">
        <x:f>B5-$B$2</x:f>
        <x:v>-7.634482409681368</x:v>
      </x:c>
      <x:c r="D5" s="34" t="n">
        <x:f>C5/$B$2</x:f>
        <x:v>-0.00013263378556447022</x:v>
      </x:c>
      <x:c r="E5" s="27" t="n">
        <x:f>MAX(MAX('购电量差值'!D2:D145),-MIN('购电量差值'!D2:D145))</x:f>
        <x:v>271.5640047113494</x:v>
      </x:c>
      <x:c r="F5" s="35" t="n">
        <x:f>COUNTIF('购电量差值'!D2:D145,"&gt;0.001")+COUNTIF('购电量差值'!D2:D145,"&lt;-0.001")</x:f>
        <x:v>49</x:v>
      </x:c>
      <x:c r="G5" s="35" t="n">
        <x:v>4</x:v>
      </x:c>
      <x:c r="H5" s="27" t="n">
        <x:v>31090.138980305186</x:v>
      </x:c>
      <x:c r="I5" s="27" t="n">
        <x:v>1000.0000000000102</x:v>
      </x:c>
      <x:c r="J5" s="35" t="n">
        <x:v>0</x:v>
      </x:c>
      <x:c r="K5" s="35" t="n">
        <x:v>0</x:v>
      </x:c>
      <x:c r="L5" s="27" t="str">
        <x:v>通过约束和最优性校验</x:v>
      </x:c>
    </x:row>
    <x:row r="6" ht="25" customHeight="1">
      <x:c r="A6" s="27" t="str">
        <x:v>S04</x:v>
      </x:c>
      <x:c r="B6" s="27" t="n">
        <x:f>SUM('计划购电量'!G2:G145)</x:f>
        <x:v>57516.782839216474</x:v>
      </x:c>
      <x:c r="C6" s="27" t="n">
        <x:f>B6-$B$2</x:f>
        <x:v>-43.83323752531578</x:v>
      </x:c>
      <x:c r="D6" s="34" t="n">
        <x:f>C6/$B$2</x:f>
        <x:v>-0.0007615143914873288</x:v>
      </x:c>
      <x:c r="E6" s="27" t="n">
        <x:f>MAX(MAX('购电量差值'!E2:E145),-MIN('购电量差值'!E2:E145))</x:f>
        <x:v>241.46357410331495</x:v>
      </x:c>
      <x:c r="F6" s="35" t="n">
        <x:f>COUNTIF('购电量差值'!E2:E145,"&gt;0.001")+COUNTIF('购电量差值'!E2:E145,"&lt;-0.001")</x:f>
        <x:v>55</x:v>
      </x:c>
      <x:c r="G6" s="35" t="n">
        <x:v>4</x:v>
      </x:c>
      <x:c r="H6" s="27" t="n">
        <x:v>28513.49828247099</x:v>
      </x:c>
      <x:c r="I6" s="27" t="n">
        <x:v>1000.000000000005</x:v>
      </x:c>
      <x:c r="J6" s="35" t="n">
        <x:v>0</x:v>
      </x:c>
      <x:c r="K6" s="35" t="n">
        <x:v>0</x:v>
      </x:c>
      <x:c r="L6" s="27" t="str">
        <x:v>通过约束和最优性校验</x:v>
      </x:c>
    </x:row>
    <x:row r="7" ht="25" customHeight="1">
      <x:c r="A7" s="27" t="str">
        <x:v>S05</x:v>
      </x:c>
      <x:c r="B7" s="27" t="n">
        <x:f>SUM('计划购电量'!H2:H145)</x:f>
        <x:v>57521.915123351806</x:v>
      </x:c>
      <x:c r="C7" s="27" t="n">
        <x:f>B7-$B$2</x:f>
        <x:v>-38.700953389983624</x:v>
      </x:c>
      <x:c r="D7" s="34" t="n">
        <x:f>C7/$B$2</x:f>
        <x:v>-0.0006723512711953288</x:v>
      </x:c>
      <x:c r="E7" s="27" t="n">
        <x:f>MAX(MAX('购电量差值'!F2:F145),-MIN('购电量差值'!F2:F145))</x:f>
        <x:v>216.62447185215126</x:v>
      </x:c>
      <x:c r="F7" s="35" t="n">
        <x:f>COUNTIF('购电量差值'!F2:F145,"&gt;0.001")+COUNTIF('购电量差值'!F2:F145,"&lt;-0.001")</x:f>
        <x:v>68</x:v>
      </x:c>
      <x:c r="G7" s="35" t="n">
        <x:v>4</x:v>
      </x:c>
      <x:c r="H7" s="27" t="n">
        <x:v>32094.952861763515</x:v>
      </x:c>
      <x:c r="I7" s="27" t="n">
        <x:v>500.0000000000805</x:v>
      </x:c>
      <x:c r="J7" s="35" t="n">
        <x:v>0</x:v>
      </x:c>
      <x:c r="K7" s="35" t="n">
        <x:v>0</x:v>
      </x:c>
      <x:c r="L7" s="27" t="str">
        <x:v>通过约束和最优性校验</x:v>
      </x:c>
    </x:row>
    <x:row r="8" ht="25" customHeight="1">
      <x:c r="A8" s="27" t="str">
        <x:v>S06</x:v>
      </x:c>
      <x:c r="B8" s="27" t="n">
        <x:f>SUM('计划购电量'!I2:I145)</x:f>
        <x:v>57487.82824533035</x:v>
      </x:c>
      <x:c r="C8" s="27" t="n">
        <x:f>B8-$B$2</x:f>
        <x:v>-72.78783141144231</x:v>
      </x:c>
      <x:c r="D8" s="34" t="n">
        <x:f>C8/$B$2</x:f>
        <x:v>-0.0012645422577548348</x:v>
      </x:c>
      <x:c r="E8" s="27" t="n">
        <x:f>MAX(MAX('购电量差值'!G2:G145),-MIN('购电量差值'!G2:G145))</x:f>
        <x:v>366.1073918322991</x:v>
      </x:c>
      <x:c r="F8" s="35" t="n">
        <x:f>COUNTIF('购电量差值'!G2:G145,"&gt;0.001")+COUNTIF('购电量差值'!G2:G145,"&lt;-0.001")</x:f>
        <x:v>49</x:v>
      </x:c>
      <x:c r="G8" s="35" t="n">
        <x:v>4</x:v>
      </x:c>
      <x:c r="H8" s="27" t="n">
        <x:v>39502.315794665206</x:v>
      </x:c>
      <x:c r="I8" s="27" t="n">
        <x:v>2000.000000000009</x:v>
      </x:c>
      <x:c r="J8" s="35" t="n">
        <x:v>0</x:v>
      </x:c>
      <x:c r="K8" s="35" t="n">
        <x:v>1</x:v>
      </x:c>
      <x:c r="L8" s="27" t="str">
        <x:v>通过约束和最优性校验</x:v>
      </x:c>
    </x:row>
    <x:row r="9" ht="25" customHeight="1">
      <x:c r="A9" s="27" t="str">
        <x:v>S07</x:v>
      </x:c>
      <x:c r="B9" s="27" t="n">
        <x:f>SUM('计划购电量'!J2:J145)</x:f>
        <x:v>57556.38344190166</x:v>
      </x:c>
      <x:c r="C9" s="27" t="n">
        <x:f>B9-$B$2</x:f>
        <x:v>-4.23263484013296</x:v>
      </x:c>
      <x:c r="D9" s="34" t="n">
        <x:f>C9/$B$2</x:f>
        <x:v>-0.00007353352220014229</x:v>
      </x:c>
      <x:c r="E9" s="27" t="n">
        <x:f>MAX(MAX('购电量差值'!H2:H145),-MIN('购电量差值'!H2:H145))</x:f>
        <x:v>60.018390265738105</x:v>
      </x:c>
      <x:c r="F9" s="35" t="n">
        <x:f>COUNTIF('购电量差值'!H2:H145,"&gt;0.001")+COUNTIF('购电量差值'!H2:H145,"&lt;-0.001")</x:f>
        <x:v>19</x:v>
      </x:c>
      <x:c r="G9" s="35" t="n">
        <x:v>4</x:v>
      </x:c>
      <x:c r="H9" s="27" t="n">
        <x:v>32374.851424334593</x:v>
      </x:c>
      <x:c r="I9" s="27" t="n">
        <x:v>1000.0000000000089</x:v>
      </x:c>
      <x:c r="J9" s="35" t="n">
        <x:v>0</x:v>
      </x:c>
      <x:c r="K9" s="35" t="n">
        <x:v>0</x:v>
      </x:c>
      <x:c r="L9" s="27" t="str">
        <x:v>通过约束和最优性校验</x:v>
      </x:c>
    </x:row>
    <x:row r="10" ht="25" customHeight="1">
      <x:c r="A10" s="27" t="str">
        <x:v>S08</x:v>
      </x:c>
      <x:c r="B10" s="27" t="n">
        <x:f>SUM('计划购电量'!K2:K145)</x:f>
        <x:v>57556.37992369686</x:v>
      </x:c>
      <x:c r="C10" s="27" t="n">
        <x:f>B10-$B$2</x:f>
        <x:v>-4.23615304492705</x:v>
      </x:c>
      <x:c r="D10" s="34" t="n">
        <x:f>C10/$B$2</x:f>
        <x:v>-0.00007359464393638987</x:v>
      </x:c>
      <x:c r="E10" s="27" t="n">
        <x:f>MAX(MAX('购电量差值'!I2:I145),-MIN('购电量差值'!I2:I145))</x:f>
        <x:v>136.89744703123864</x:v>
      </x:c>
      <x:c r="F10" s="35" t="n">
        <x:f>COUNTIF('购电量差值'!I2:I145,"&gt;0.001")+COUNTIF('购电量差值'!I2:I145,"&lt;-0.001")</x:f>
        <x:v>48</x:v>
      </x:c>
      <x:c r="G10" s="35" t="n">
        <x:v>4</x:v>
      </x:c>
      <x:c r="H10" s="27" t="n">
        <x:v>31566.96774948839</x:v>
      </x:c>
      <x:c r="I10" s="27" t="n">
        <x:v>1000.000000000015</x:v>
      </x:c>
      <x:c r="J10" s="35" t="n">
        <x:v>0</x:v>
      </x:c>
      <x:c r="K10" s="35" t="n">
        <x:v>1</x:v>
      </x:c>
      <x:c r="L10" s="27" t="str">
        <x:v>通过约束和最优性校验</x:v>
      </x:c>
    </x:row>
    <x:row r="11" ht="25" customHeight="1">
      <x:c r="A11" s="27" t="str">
        <x:v>S09</x:v>
      </x:c>
      <x:c r="B11" s="27" t="n">
        <x:f>SUM('计划购电量'!L2:L145)</x:f>
        <x:v>57556.38344189721</x:v>
      </x:c>
      <x:c r="C11" s="27" t="n">
        <x:f>B11-$B$2</x:f>
        <x:v>-4.23263484457857</x:v>
      </x:c>
      <x:c r="D11" s="34" t="n">
        <x:f>C11/$B$2</x:f>
        <x:v>-0.00007353352227737584</x:v>
      </x:c>
      <x:c r="E11" s="27" t="n">
        <x:f>MAX(MAX('购电量差值'!J2:J145),-MIN('购电量差值'!J2:J145))</x:f>
        <x:v>59.27339205685905</x:v>
      </x:c>
      <x:c r="F11" s="35" t="n">
        <x:f>COUNTIF('购电量差值'!J2:J145,"&gt;0.001")+COUNTIF('购电量差值'!J2:J145,"&lt;-0.001")</x:f>
        <x:v>19</x:v>
      </x:c>
      <x:c r="G11" s="35" t="n">
        <x:v>4</x:v>
      </x:c>
      <x:c r="H11" s="27" t="n">
        <x:v>32383.791402841198</x:v>
      </x:c>
      <x:c r="I11" s="27" t="n">
        <x:v>1000.0000000000068</x:v>
      </x:c>
      <x:c r="J11" s="35" t="n">
        <x:v>0</x:v>
      </x:c>
      <x:c r="K11" s="35" t="n">
        <x:v>0</x:v>
      </x:c>
      <x:c r="L11" s="27" t="str">
        <x:v>通过约束和最优性校验</x:v>
      </x:c>
    </x:row>
    <x:row r="12" ht="25" customHeight="1">
      <x:c r="A12" s="27" t="str">
        <x:v>S10</x:v>
      </x:c>
      <x:c r="B12" s="27" t="n">
        <x:f>SUM('计划购电量'!M2:M145)</x:f>
        <x:v>57556.38163699767</x:v>
      </x:c>
      <x:c r="C12" s="27" t="n">
        <x:f>B12-$B$2</x:f>
        <x:v>-4.2344397441193</x:v>
      </x:c>
      <x:c r="D12" s="34" t="n">
        <x:f>C12/$B$2</x:f>
        <x:v>-0.00007356487877881292</x:v>
      </x:c>
      <x:c r="E12" s="27" t="n">
        <x:f>MAX(MAX('购电量差值'!K2:K145),-MIN('购电量差值'!K2:K145))</x:f>
        <x:v>134.3262974044269</x:v>
      </x:c>
      <x:c r="F12" s="35" t="n">
        <x:f>COUNTIF('购电量差值'!K2:K145,"&gt;0.001")+COUNTIF('购电量差值'!K2:K145,"&lt;-0.001")</x:f>
        <x:v>47</x:v>
      </x:c>
      <x:c r="G12" s="35" t="n">
        <x:v>4</x:v>
      </x:c>
      <x:c r="H12" s="27" t="n">
        <x:v>31684.47818988756</x:v>
      </x:c>
      <x:c r="I12" s="27" t="n">
        <x:v>1000.0000000000068</x:v>
      </x:c>
      <x:c r="J12" s="35" t="n">
        <x:v>0</x:v>
      </x:c>
      <x:c r="K12" s="35" t="n">
        <x:v>0</x:v>
      </x:c>
      <x:c r="L12" s="27" t="str">
        <x:v>通过约束和最优性校验</x:v>
      </x:c>
    </x:row>
    <x:row r="13" ht="25" customHeight="1">
      <x:c r="A13" s="27" t="str">
        <x:v>S11</x:v>
      </x:c>
      <x:c r="B13" s="27" t="n">
        <x:f>SUM('计划购电量'!N2:N145)</x:f>
        <x:v>57560.34151216177</x:v>
      </x:c>
      <x:c r="C13" s="27" t="n">
        <x:f>B13-$B$2</x:f>
        <x:v>-0.2745645800168859</x:v>
      </x:c>
      <x:c r="D13" s="34" t="n">
        <x:f>C13/$B$2</x:f>
        <x:v>-0.000004770007667235996</x:v>
      </x:c>
      <x:c r="E13" s="27" t="n">
        <x:f>MAX(MAX('购电量差值'!L2:L145),-MIN('购电量差值'!L2:L145))</x:f>
        <x:v>0.9366857923373701</x:v>
      </x:c>
      <x:c r="F13" s="35" t="n">
        <x:f>COUNTIF('购电量差值'!L2:L145,"&gt;0.001")+COUNTIF('购电量差值'!L2:L145,"&lt;-0.001")</x:f>
        <x:v>14</x:v>
      </x:c>
      <x:c r="G13" s="35" t="n">
        <x:v>4</x:v>
      </x:c>
      <x:c r="H13" s="27" t="n">
        <x:v>33213.137043456925</x:v>
      </x:c>
      <x:c r="I13" s="27" t="n">
        <x:v>1000.0000000000084</x:v>
      </x:c>
      <x:c r="J13" s="35" t="n">
        <x:v>0</x:v>
      </x:c>
      <x:c r="K13" s="35" t="n">
        <x:v>0</x:v>
      </x:c>
      <x:c r="L13" s="27" t="str">
        <x:v>通过约束和最优性校验</x:v>
      </x:c>
    </x:row>
    <x:row r="14" ht="25" customHeight="1">
      <x:c r="A14" s="27" t="str">
        <x:v>S12</x:v>
      </x:c>
      <x:c r="B14" s="27" t="n">
        <x:f>SUM('计划购电量'!O2:O145)</x:f>
        <x:v>57560.63434442709</x:v>
      </x:c>
      <x:c r="C14" s="27" t="n">
        <x:f>B14-$B$2</x:f>
        <x:v>0.018267685300088488</x:v>
      </x:c>
      <x:c r="D14" s="34" t="n">
        <x:f>C14/$B$2</x:f>
        <x:v>3.173643116629152e-7</x:v>
      </x:c>
      <x:c r="E14" s="27" t="n">
        <x:f>MAX(MAX('购电量差值'!M2:M145),-MIN('购电量差值'!M2:M145))</x:f>
        <x:v>0.08281634602246868</x:v>
      </x:c>
      <x:c r="F14" s="35" t="n">
        <x:f>COUNTIF('购电量差值'!M2:M145,"&gt;0.001")+COUNTIF('购电量差值'!M2:M145,"&lt;-0.001")</x:f>
        <x:v>18</x:v>
      </x:c>
      <x:c r="G14" s="35" t="n">
        <x:v>4</x:v>
      </x:c>
      <x:c r="H14" s="27" t="n">
        <x:v>33209.20205760907</x:v>
      </x:c>
      <x:c r="I14" s="27" t="n">
        <x:v>1000.0000000000102</x:v>
      </x:c>
      <x:c r="J14" s="35" t="n">
        <x:v>0</x:v>
      </x:c>
      <x:c r="K14" s="35" t="n">
        <x:v>0</x:v>
      </x:c>
      <x:c r="L14" s="27" t="str">
        <x:v>通过约束和最优性校验</x:v>
      </x:c>
    </x:row>
    <x:row r="15" ht="25" customHeight="1">
      <x:c r="A15" s="27" t="str">
        <x:v>S13</x:v>
      </x:c>
      <x:c r="B15" s="27" t="n">
        <x:f>SUM('计划购电量'!P2:P145)</x:f>
        <x:v>57556.737584542825</x:v>
      </x:c>
      <x:c r="C15" s="27" t="n">
        <x:f>B15-$B$2</x:f>
        <x:v>-3.8784921989645227</x:v>
      </x:c>
      <x:c r="D15" s="34" t="n">
        <x:f>C15/$B$2</x:f>
        <x:v>-0.00006738100568266301</x:v>
      </x:c>
      <x:c r="E15" s="27" t="n">
        <x:f>MAX(MAX('购电量差值'!N2:N145),-MIN('购电量差值'!N2:N145))</x:f>
        <x:v>51.18035724520655</x:v>
      </x:c>
      <x:c r="F15" s="35" t="n">
        <x:f>COUNTIF('购电量差值'!N2:N145,"&gt;0.001")+COUNTIF('购电量差值'!N2:N145,"&lt;-0.001")</x:f>
        <x:v>29</x:v>
      </x:c>
      <x:c r="G15" s="35" t="n">
        <x:v>4</x:v>
      </x:c>
      <x:c r="H15" s="27" t="n">
        <x:v>33475.355887960664</x:v>
      </x:c>
      <x:c r="I15" s="27" t="n">
        <x:v>1000.0000000000055</x:v>
      </x:c>
      <x:c r="J15" s="35" t="n">
        <x:v>0</x:v>
      </x:c>
      <x:c r="K15" s="35" t="n">
        <x:v>0</x:v>
      </x:c>
      <x:c r="L15" s="27" t="str">
        <x:v>通过约束和最优性校验</x:v>
      </x:c>
    </x:row>
    <x:row r="16" ht="25" customHeight="1">
      <x:c r="A16" s="27" t="str">
        <x:v>S14</x:v>
      </x:c>
      <x:c r="B16" s="27" t="n">
        <x:f>SUM('计划购电量'!Q2:Q145)</x:f>
        <x:v>57550.63054153777</x:v>
      </x:c>
      <x:c r="C16" s="27" t="n">
        <x:f>B16-$B$2</x:f>
        <x:v>-9.985535204017651</x:v>
      </x:c>
      <x:c r="D16" s="34" t="n">
        <x:f>C16/$B$2</x:f>
        <x:v>-0.0001734786019438116</x:v>
      </x:c>
      <x:c r="E16" s="27" t="n">
        <x:f>MAX(MAX('购电量差值'!O2:O145),-MIN('购电量差值'!O2:O145))</x:f>
        <x:v>139.35867080781134</x:v>
      </x:c>
      <x:c r="F16" s="35" t="n">
        <x:f>COUNTIF('购电量差值'!O2:O145,"&gt;0.001")+COUNTIF('购电量差值'!O2:O145,"&lt;-0.001")</x:f>
        <x:v>29</x:v>
      </x:c>
      <x:c r="G16" s="35" t="n">
        <x:v>4</x:v>
      </x:c>
      <x:c r="H16" s="27" t="n">
        <x:v>34273.493378760744</x:v>
      </x:c>
      <x:c r="I16" s="27" t="n">
        <x:v>1000.0000000000102</x:v>
      </x:c>
      <x:c r="J16" s="35" t="n">
        <x:v>0</x:v>
      </x:c>
      <x:c r="K16" s="35" t="n">
        <x:v>0</x:v>
      </x:c>
      <x:c r="L16" s="27" t="str">
        <x:v>通过约束和最优性校验</x:v>
      </x:c>
    </x:row>
    <x:row r="17" ht="25" customHeight="1">
      <x:c r="A17" s="27" t="str">
        <x:v>S15</x:v>
      </x:c>
      <x:c r="B17" s="27" t="n">
        <x:f>SUM('计划购电量'!R2:R145)</x:f>
        <x:v>57541.672475928695</x:v>
      </x:c>
      <x:c r="C17" s="27" t="n">
        <x:f>B17-$B$2</x:f>
        <x:v>-18.943600813094235</x:v>
      </x:c>
      <x:c r="D17" s="34" t="n">
        <x:f>C17/$B$2</x:f>
        <x:v>-0.0003291069850231967</x:v>
      </x:c>
      <x:c r="E17" s="27" t="n">
        <x:f>MAX(MAX('购电量差值'!P2:P145),-MIN('购电量差值'!P2:P145))</x:f>
        <x:v>251.19288512538822</x:v>
      </x:c>
      <x:c r="F17" s="35" t="n">
        <x:f>COUNTIF('购电量差值'!P2:P145,"&gt;0.001")+COUNTIF('购电量差值'!P2:P145,"&lt;-0.001")</x:f>
        <x:v>39</x:v>
      </x:c>
      <x:c r="G17" s="35" t="n">
        <x:v>4</x:v>
      </x:c>
      <x:c r="H17" s="27" t="n">
        <x:v>35869.76836048759</x:v>
      </x:c>
      <x:c r="I17" s="27" t="n">
        <x:v>1000</x:v>
      </x:c>
      <x:c r="J17" s="35" t="n">
        <x:v>0</x:v>
      </x:c>
      <x:c r="K17" s="35" t="n">
        <x:v>0</x:v>
      </x:c>
      <x:c r="L17" s="27" t="str">
        <x:v>通过约束和最优性校验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44" customHeight="1">
      <x:c r="A1" s="30" t="str">
        <x:v>时间段</x:v>
      </x:c>
      <x:c r="B1" s="30" t="str">
        <x:v>S01减基准(kWh)</x:v>
      </x:c>
      <x:c r="C1" s="30" t="str">
        <x:v>S02减基准(kWh)</x:v>
      </x:c>
      <x:c r="D1" s="30" t="str">
        <x:v>S03减基准(kWh)</x:v>
      </x:c>
      <x:c r="E1" s="30" t="str">
        <x:v>S04减基准(kWh)</x:v>
      </x:c>
      <x:c r="F1" s="30" t="str">
        <x:v>S05减基准(kWh)</x:v>
      </x:c>
      <x:c r="G1" s="30" t="str">
        <x:v>S06减基准(kWh)</x:v>
      </x:c>
      <x:c r="H1" s="30" t="str">
        <x:v>S07减基准(kWh)</x:v>
      </x:c>
      <x:c r="I1" s="30" t="str">
        <x:v>S08减基准(kWh)</x:v>
      </x:c>
      <x:c r="J1" s="30" t="str">
        <x:v>S09减基准(kWh)</x:v>
      </x:c>
      <x:c r="K1" s="30" t="str">
        <x:v>S10减基准(kWh)</x:v>
      </x:c>
      <x:c r="L1" s="30" t="str">
        <x:v>S11减基准(kWh)</x:v>
      </x:c>
      <x:c r="M1" s="30" t="str">
        <x:v>S12减基准(kWh)</x:v>
      </x:c>
      <x:c r="N1" s="30" t="str">
        <x:v>S13减基准(kWh)</x:v>
      </x:c>
      <x:c r="O1" s="30" t="str">
        <x:v>S14减基准(kWh)</x:v>
      </x:c>
      <x:c r="P1" s="30" t="str">
        <x:v>S15减基准(kWh)</x:v>
      </x:c>
    </x:row>
    <x:row r="2" ht="25" customHeight="1">
      <x:c r="A2" s="27" t="str">
        <x:f>'计划购电量'!A2</x:f>
        <x:v>0:00-0:10</x:v>
      </x:c>
      <x:c r="B2" s="27" t="n">
        <x:f>'计划购电量'!D2-'计划购电量'!B2</x:f>
        <x:v>244.0355743730596</x:v>
      </x:c>
      <x:c r="C2" s="27" t="n">
        <x:f>'计划购电量'!E2-'计划购电量'!B2</x:f>
        <x:v>3.069544618483633e-12</x:v>
      </x:c>
      <x:c r="D2" s="27" t="n">
        <x:f>'计划购电量'!F2-'计划购电量'!B2</x:f>
        <x:v>-8.117978087298638</x:v>
      </x:c>
      <x:c r="E2" s="27" t="n">
        <x:f>'计划购电量'!G2-'计划购电量'!B2</x:f>
        <x:v>-8.11797808729682</x:v>
      </x:c>
      <x:c r="F2" s="27" t="n">
        <x:f>'计划购电量'!H2-'计划购电量'!B2</x:f>
        <x:v>53.5744397400689</x:v>
      </x:c>
      <x:c r="G2" s="27" t="n">
        <x:f>'计划购电量'!I2-'计划购电量'!B2</x:f>
        <x:v>219.4748437781226</x:v>
      </x:c>
      <x:c r="H2" s="27" t="n">
        <x:f>'计划购电量'!J2-'计划购电量'!B2</x:f>
        <x:v>9.094947017729282e-13</x:v>
      </x:c>
      <x:c r="I2" s="27" t="n">
        <x:f>'计划购电量'!K2-'计划购电量'!B2</x:f>
        <x:v>-8.117978087293068</x:v>
      </x:c>
      <x:c r="J2" s="27" t="n">
        <x:f>'计划购电量'!L2-'计划购电量'!B2</x:f>
        <x:v>-5.684341886080801e-13</x:v>
      </x:c>
      <x:c r="K2" s="27" t="n">
        <x:f>'计划购电量'!M2-'计划购电量'!B2</x:f>
        <x:v>-8.11797808729716</x:v>
      </x:c>
      <x:c r="L2" s="27" t="n">
        <x:f>'计划购电量'!N2-'计划购电量'!B2</x:f>
        <x:v>0</x:v>
      </x:c>
      <x:c r="M2" s="27" t="n">
        <x:f>'计划购电量'!O2-'计划购电量'!B2</x:f>
        <x:v>3.410605131648481e-13</x:v>
      </x:c>
      <x:c r="N2" s="27" t="n">
        <x:f>'计划购电量'!P2-'计划购电量'!B2</x:f>
        <x:v>28.43353180289421</x:v>
      </x:c>
      <x:c r="O2" s="27" t="n">
        <x:f>'计划购电量'!Q2-'计划购电量'!B2</x:f>
        <x:v>95.72525593634657</x:v>
      </x:c>
      <x:c r="P2" s="27" t="n">
        <x:f>'计划购电量'!R2-'计划购电量'!B2</x:f>
        <x:v>204.9371347924981</x:v>
      </x:c>
    </x:row>
    <x:row r="3" ht="25" customHeight="1">
      <x:c r="A3" s="27" t="str">
        <x:f>'计划购电量'!A3</x:f>
        <x:v>0:10-0:20</x:v>
      </x:c>
      <x:c r="B3" s="27" t="n">
        <x:f>'计划购电量'!D3-'计划购电量'!B3</x:f>
        <x:v>410.70224103972623</x:v>
      </x:c>
      <x:c r="C3" s="27" t="n">
        <x:f>'计划购电量'!E3-'计划购电量'!B3</x:f>
        <x:v>-2.2737367544323206e-13</x:v>
      </x:c>
      <x:c r="D3" s="27" t="n">
        <x:f>'计划购电量'!F3-'计划购电量'!B3</x:f>
        <x:v>-8.117978087299207</x:v>
      </x:c>
      <x:c r="E3" s="27" t="n">
        <x:f>'计划购电量'!G3-'计划购电量'!B3</x:f>
        <x:v>-8.117978087296933</x:v>
      </x:c>
      <x:c r="F3" s="27" t="n">
        <x:f>'计划购电量'!H3-'计划购电量'!B3</x:f>
        <x:v>53.57443974006833</x:v>
      </x:c>
      <x:c r="G3" s="27" t="n">
        <x:f>'计划购电量'!I3-'计划购电量'!B3</x:f>
        <x:v>219.47484377812248</x:v>
      </x:c>
      <x:c r="H3" s="27" t="n">
        <x:f>'计划购电量'!J3-'计划购电量'!B3</x:f>
        <x:v>6.821210263296962e-13</x:v>
      </x:c>
      <x:c r="I3" s="27" t="n">
        <x:f>'计划购电量'!K3-'计划购电量'!B3</x:f>
        <x:v>-8.117978087295569</x:v>
      </x:c>
      <x:c r="J3" s="27" t="n">
        <x:f>'计划购电量'!L3-'计划购电量'!B3</x:f>
        <x:v>-7.958078640513122e-13</x:v>
      </x:c>
      <x:c r="K3" s="27" t="n">
        <x:f>'计划购电量'!M3-'计划购电量'!B3</x:f>
        <x:v>-8.11797808729716</x:v>
      </x:c>
      <x:c r="L3" s="27" t="n">
        <x:f>'计划购电量'!N3-'计划购电量'!B3</x:f>
        <x:v>0</x:v>
      </x:c>
      <x:c r="M3" s="27" t="n">
        <x:f>'计划购电量'!O3-'计划购电量'!B3</x:f>
        <x:v>-7.958078640513122e-13</x:v>
      </x:c>
      <x:c r="N3" s="27" t="n">
        <x:f>'计划购电量'!P3-'计划购电量'!B3</x:f>
        <x:v>28.433531802893867</x:v>
      </x:c>
      <x:c r="O3" s="27" t="n">
        <x:f>'计划购电量'!Q3-'计划购电量'!B3</x:f>
        <x:v>95.72525593634055</x:v>
      </x:c>
      <x:c r="P3" s="27" t="n">
        <x:f>'计划购电量'!R3-'计划购电量'!B3</x:f>
        <x:v>204.93713479249823</x:v>
      </x:c>
    </x:row>
    <x:row r="4" ht="25" customHeight="1">
      <x:c r="A4" s="27" t="str">
        <x:f>'计划购电量'!A4</x:f>
        <x:v>0:20-0:30</x:v>
      </x:c>
      <x:c r="B4" s="27" t="n">
        <x:f>'计划购电量'!D4-'计划购电量'!B4</x:f>
        <x:v>410.7022410397267</x:v>
      </x:c>
      <x:c r="C4" s="27" t="n">
        <x:f>'计划购电量'!E4-'计划购电量'!B4</x:f>
        <x:v>-2.2737367544323206e-13</x:v>
      </x:c>
      <x:c r="D4" s="27" t="n">
        <x:f>'计划购电量'!F4-'计划购电量'!B4</x:f>
        <x:v>-8.117978087299207</x:v>
      </x:c>
      <x:c r="E4" s="27" t="n">
        <x:f>'计划购电量'!G4-'计划购电量'!B4</x:f>
        <x:v>-8.117978087296933</x:v>
      </x:c>
      <x:c r="F4" s="27" t="n">
        <x:f>'计划购电量'!H4-'计划购电量'!B4</x:f>
        <x:v>53.574439740068556</x:v>
      </x:c>
      <x:c r="G4" s="27" t="n">
        <x:f>'计划购电量'!I4-'计划购电量'!B4</x:f>
        <x:v>219.47484377812316</x:v>
      </x:c>
      <x:c r="H4" s="27" t="n">
        <x:f>'计划购电量'!J4-'计划购电量'!B4</x:f>
        <x:v>6.821210263296962e-13</x:v>
      </x:c>
      <x:c r="I4" s="27" t="n">
        <x:f>'计划购电量'!K4-'计划购电量'!B4</x:f>
        <x:v>-8.117978087296137</x:v>
      </x:c>
      <x:c r="J4" s="27" t="n">
        <x:f>'计划购电量'!L4-'计划购电量'!B4</x:f>
        <x:v>-7.958078640513122e-13</x:v>
      </x:c>
      <x:c r="K4" s="27" t="n">
        <x:f>'计划购电量'!M4-'计划购电量'!B4</x:f>
        <x:v>-8.117978087297388</x:v>
      </x:c>
      <x:c r="L4" s="27" t="n">
        <x:f>'计划购电量'!N4-'计划购电量'!B4</x:f>
        <x:v>0</x:v>
      </x:c>
      <x:c r="M4" s="27" t="n">
        <x:f>'计划购电量'!O4-'计划购电量'!B4</x:f>
        <x:v>-7.958078640513122e-13</x:v>
      </x:c>
      <x:c r="N4" s="27" t="n">
        <x:f>'计划购电量'!P4-'计划购电量'!B4</x:f>
        <x:v>28.433531802891594</x:v>
      </x:c>
      <x:c r="O4" s="27" t="n">
        <x:f>'计划购电量'!Q4-'计划购电量'!B4</x:f>
        <x:v>95.72525593634055</x:v>
      </x:c>
      <x:c r="P4" s="27" t="n">
        <x:f>'计划购电量'!R4-'计划购电量'!B4</x:f>
        <x:v>204.93713479249845</x:v>
      </x:c>
    </x:row>
    <x:row r="5" ht="25" customHeight="1">
      <x:c r="A5" s="27" t="str">
        <x:f>'计划购电量'!A5</x:f>
        <x:v>0:30-0:40</x:v>
      </x:c>
      <x:c r="B5" s="27" t="n">
        <x:f>'计划购电量'!D5-'计划购电量'!B5</x:f>
        <x:v>410.7022410397261</x:v>
      </x:c>
      <x:c r="C5" s="27" t="n">
        <x:f>'计划购电量'!E5-'计划购电量'!B5</x:f>
        <x:v>-1.1368683772161603e-13</x:v>
      </x:c>
      <x:c r="D5" s="27" t="n">
        <x:f>'计划购电量'!F5-'计划购电量'!B5</x:f>
        <x:v>-8.11797808729932</x:v>
      </x:c>
      <x:c r="E5" s="27" t="n">
        <x:f>'计划购电量'!G5-'计划购电量'!B5</x:f>
        <x:v>-8.11797808729682</x:v>
      </x:c>
      <x:c r="F5" s="27" t="n">
        <x:f>'计划购电量'!H5-'计划购电量'!B5</x:f>
        <x:v>53.57443974007026</x:v>
      </x:c>
      <x:c r="G5" s="27" t="n">
        <x:f>'计划购电量'!I5-'计划购电量'!B5</x:f>
        <x:v>219.47484377812327</x:v>
      </x:c>
      <x:c r="H5" s="27" t="n">
        <x:f>'计划购电量'!J5-'计划购电量'!B5</x:f>
        <x:v>7.958078640513122e-13</x:v>
      </x:c>
      <x:c r="I5" s="27" t="n">
        <x:f>'计划购电量'!K5-'计划购电量'!B5</x:f>
        <x:v>-8.117978087296137</x:v>
      </x:c>
      <x:c r="J5" s="27" t="n">
        <x:f>'计划购电量'!L5-'计划购电量'!B5</x:f>
        <x:v>-1.4779288903810084e-12</x:v>
      </x:c>
      <x:c r="K5" s="27" t="n">
        <x:f>'计划购电量'!M5-'计划购电量'!B5</x:f>
        <x:v>-8.117978087297274</x:v>
      </x:c>
      <x:c r="L5" s="27" t="n">
        <x:f>'计划购电量'!N5-'计划购电量'!B5</x:f>
        <x:v>0</x:v>
      </x:c>
      <x:c r="M5" s="27" t="n">
        <x:f>'计划购电量'!O5-'计划购电量'!B5</x:f>
        <x:v>-7.958078640513122e-13</x:v>
      </x:c>
      <x:c r="N5" s="27" t="n">
        <x:f>'计划购电量'!P5-'计划购电量'!B5</x:f>
        <x:v>28.433531802891707</x:v>
      </x:c>
      <x:c r="O5" s="27" t="n">
        <x:f>'计划购电量'!Q5-'计划购电量'!B5</x:f>
        <x:v>95.72525593634066</x:v>
      </x:c>
      <x:c r="P5" s="27" t="n">
        <x:f>'计划购电量'!R5-'计划购电量'!B5</x:f>
        <x:v>204.93713479249834</x:v>
      </x:c>
    </x:row>
    <x:row r="6" ht="25" customHeight="1">
      <x:c r="A6" s="27" t="str">
        <x:f>'计划购电量'!A6</x:f>
        <x:v>0:40-0:50</x:v>
      </x:c>
      <x:c r="B6" s="27" t="n">
        <x:f>'计划购电量'!D6-'计划购电量'!B6</x:f>
        <x:v>258.946638440417</x:v>
      </x:c>
      <x:c r="C6" s="27" t="n">
        <x:f>'计划购电量'!E6-'计划购电量'!B6</x:f>
        <x:v>-1.1368683772161603e-13</x:v>
      </x:c>
      <x:c r="D6" s="27" t="n">
        <x:f>'计划购电量'!F6-'计划购电量'!B6</x:f>
        <x:v>-8.117978087299093</x:v>
      </x:c>
      <x:c r="E6" s="27" t="n">
        <x:f>'计划购电量'!G6-'计划购电量'!B6</x:f>
        <x:v>-8.11797808729716</x:v>
      </x:c>
      <x:c r="F6" s="27" t="n">
        <x:f>'计划购电量'!H6-'计划购电量'!B6</x:f>
        <x:v>53.57443974007015</x:v>
      </x:c>
      <x:c r="G6" s="27" t="n">
        <x:f>'计划购电量'!I6-'计划购电量'!B6</x:f>
        <x:v>219.4748437781234</x:v>
      </x:c>
      <x:c r="H6" s="27" t="n">
        <x:f>'计划购电量'!J6-'计划购电量'!B6</x:f>
        <x:v>7.958078640513122e-13</x:v>
      </x:c>
      <x:c r="I6" s="27" t="n">
        <x:f>'计划购电量'!K6-'计划购电量'!B6</x:f>
        <x:v>-8.117978087296024</x:v>
      </x:c>
      <x:c r="J6" s="27" t="n">
        <x:f>'计划购电量'!L6-'计划购电量'!B6</x:f>
        <x:v>-1.4779288903810084e-12</x:v>
      </x:c>
      <x:c r="K6" s="27" t="n">
        <x:f>'计划购电量'!M6-'计划购电量'!B6</x:f>
        <x:v>-8.117978087297274</x:v>
      </x:c>
      <x:c r="L6" s="27" t="n">
        <x:f>'计划购电量'!N6-'计划购电量'!B6</x:f>
        <x:v>0</x:v>
      </x:c>
      <x:c r="M6" s="27" t="n">
        <x:f>'计划购电量'!O6-'计划购电量'!B6</x:f>
        <x:v>-6.821210263296962e-13</x:v>
      </x:c>
      <x:c r="N6" s="27" t="n">
        <x:f>'计划购电量'!P6-'计划购电量'!B6</x:f>
        <x:v>28.43353180289182</x:v>
      </x:c>
      <x:c r="O6" s="27" t="n">
        <x:f>'计划购电量'!Q6-'计划购电量'!B6</x:f>
        <x:v>95.72525593634077</x:v>
      </x:c>
      <x:c r="P6" s="27" t="n">
        <x:f>'计划购电量'!R6-'计划购电量'!B6</x:f>
        <x:v>204.93713479249845</x:v>
      </x:c>
    </x:row>
    <x:row r="7" ht="25" customHeight="1">
      <x:c r="A7" s="27" t="str">
        <x:f>'计划购电量'!A7</x:f>
        <x:v>0:50-1:00</x:v>
      </x:c>
      <x:c r="B7" s="27" t="n">
        <x:f>'计划购电量'!D7-'计划购电量'!B7</x:f>
        <x:v>92.2799717737505</x:v>
      </x:c>
      <x:c r="C7" s="27" t="n">
        <x:f>'计划购电量'!E7-'计划购电量'!B7</x:f>
        <x:v>0</x:v>
      </x:c>
      <x:c r="D7" s="27" t="n">
        <x:f>'计划购电量'!F7-'计划购电量'!B7</x:f>
        <x:v>-8.117978087299093</x:v>
      </x:c>
      <x:c r="E7" s="27" t="n">
        <x:f>'计划购电量'!G7-'计划购电量'!B7</x:f>
        <x:v>-8.11797808729682</x:v>
      </x:c>
      <x:c r="F7" s="27" t="n">
        <x:f>'计划购电量'!H7-'计划购电量'!B7</x:f>
        <x:v>53.574439740070375</x:v>
      </x:c>
      <x:c r="G7" s="27" t="n">
        <x:f>'计划购电量'!I7-'计划购电量'!B7</x:f>
        <x:v>219.4748437781234</x:v>
      </x:c>
      <x:c r="H7" s="27" t="n">
        <x:f>'计划购电量'!J7-'计划购电量'!B7</x:f>
        <x:v>9.094947017729282e-13</x:v>
      </x:c>
      <x:c r="I7" s="27" t="n">
        <x:f>'计划购电量'!K7-'计划购电量'!B7</x:f>
        <x:v>-8.117978087296024</x:v>
      </x:c>
      <x:c r="J7" s="27" t="n">
        <x:f>'计划购电量'!L7-'计划购电量'!B7</x:f>
        <x:v>-2.0463630789890885e-12</x:v>
      </x:c>
      <x:c r="K7" s="27" t="n">
        <x:f>'计划购电量'!M7-'计划购电量'!B7</x:f>
        <x:v>-8.11797808729716</x:v>
      </x:c>
      <x:c r="L7" s="27" t="n">
        <x:f>'计划购电量'!N7-'计划购电量'!B7</x:f>
        <x:v>0</x:v>
      </x:c>
      <x:c r="M7" s="27" t="n">
        <x:f>'计划购电量'!O7-'计划购电量'!B7</x:f>
        <x:v>-5.684341886080801e-13</x:v>
      </x:c>
      <x:c r="N7" s="27" t="n">
        <x:f>'计划购电量'!P7-'计划购电量'!B7</x:f>
        <x:v>28.43353180289182</x:v>
      </x:c>
      <x:c r="O7" s="27" t="n">
        <x:f>'计划购电量'!Q7-'计划购电量'!B7</x:f>
        <x:v>95.72525593634077</x:v>
      </x:c>
      <x:c r="P7" s="27" t="n">
        <x:f>'计划购电量'!R7-'计划购电量'!B7</x:f>
        <x:v>204.93713479249845</x:v>
      </x:c>
    </x:row>
    <x:row r="8" ht="25" customHeight="1">
      <x:c r="A8" s="27" t="str">
        <x:f>'计划购电量'!A8</x:f>
        <x:v>1:00-1:10</x:v>
      </x:c>
      <x:c r="B8" s="27" t="n">
        <x:f>'计划购电量'!D8-'计划购电量'!B8</x:f>
        <x:v>-74.38669489291635</x:v>
      </x:c>
      <x:c r="C8" s="27" t="n">
        <x:f>'计划购电量'!E8-'计划购电量'!B8</x:f>
        <x:v>-1.7053025658242404e-12</x:v>
      </x:c>
      <x:c r="D8" s="27" t="n">
        <x:f>'计划购电量'!F8-'计划购电量'!B8</x:f>
        <x:v>-8.117978087299434</x:v>
      </x:c>
      <x:c r="E8" s="27" t="n">
        <x:f>'计划购电量'!G8-'计划购电量'!B8</x:f>
        <x:v>-8.117978087297047</x:v>
      </x:c>
      <x:c r="F8" s="27" t="n">
        <x:f>'计划购电量'!H8-'计划购电量'!B8</x:f>
        <x:v>53.574439740070034</x:v>
      </x:c>
      <x:c r="G8" s="27" t="n">
        <x:f>'计划购电量'!I8-'计划购电量'!B8</x:f>
        <x:v>-37.54559900051834</x:v>
      </x:c>
      <x:c r="H8" s="27" t="n">
        <x:f>'计划购电量'!J8-'计划购电量'!B8</x:f>
        <x:v>7.958078640513122e-13</x:v>
      </x:c>
      <x:c r="I8" s="27" t="n">
        <x:f>'计划购电量'!K8-'计划购电量'!B8</x:f>
        <x:v>-8.117978087296365</x:v>
      </x:c>
      <x:c r="J8" s="27" t="n">
        <x:f>'计划购电量'!L8-'计划购电量'!B8</x:f>
        <x:v>-2.2737367544323206e-12</x:v>
      </x:c>
      <x:c r="K8" s="27" t="n">
        <x:f>'计划购电量'!M8-'计划购电量'!B8</x:f>
        <x:v>-8.117978087297274</x:v>
      </x:c>
      <x:c r="L8" s="27" t="n">
        <x:f>'计划购电量'!N8-'计划购电量'!B8</x:f>
        <x:v>-1.1368683772161603e-13</x:v>
      </x:c>
      <x:c r="M8" s="27" t="n">
        <x:f>'计划购电量'!O8-'计划购电量'!B8</x:f>
        <x:v>-7.958078640513122e-13</x:v>
      </x:c>
      <x:c r="N8" s="27" t="n">
        <x:f>'计划购电量'!P8-'计划购电量'!B8</x:f>
        <x:v>28.43353180289148</x:v>
      </x:c>
      <x:c r="O8" s="27" t="n">
        <x:f>'计划购电量'!Q8-'计划购电量'!B8</x:f>
        <x:v>22.53645535730277</x:v>
      </x:c>
      <x:c r="P8" s="27" t="n">
        <x:f>'计划购电量'!R8-'计划购电量'!B8</x:f>
        <x:v>38.27046812583137</x:v>
      </x:c>
    </x:row>
    <x:row r="9" ht="25" customHeight="1">
      <x:c r="A9" s="27" t="str">
        <x:f>'计划购电量'!A9</x:f>
        <x:v>1:10-1:20</x:v>
      </x:c>
      <x:c r="B9" s="27" t="n">
        <x:f>'计划购电量'!D9-'计划购电量'!B9</x:f>
        <x:v>-241.05336155958264</x:v>
      </x:c>
      <x:c r="C9" s="27" t="n">
        <x:f>'计划购电量'!E9-'计划购电量'!B9</x:f>
        <x:v>-6.821210263296962e-13</x:v>
      </x:c>
      <x:c r="D9" s="27" t="n">
        <x:f>'计划购电量'!F9-'计划购电量'!B9</x:f>
        <x:v>-8.11797808729932</x:v>
      </x:c>
      <x:c r="E9" s="27" t="n">
        <x:f>'计划购电量'!G9-'计划购电量'!B9</x:f>
        <x:v>-8.117978087296933</x:v>
      </x:c>
      <x:c r="F9" s="27" t="n">
        <x:f>'计划购电量'!H9-'计划购电量'!B9</x:f>
        <x:v>53.57443974007015</x:v>
      </x:c>
      <x:c r="G9" s="27" t="n">
        <x:f>'计划购电量'!I9-'计划购电量'!B9</x:f>
        <x:v>-37.54559900051822</x:v>
      </x:c>
      <x:c r="H9" s="27" t="n">
        <x:f>'计划购电量'!J9-'计划购电量'!B9</x:f>
        <x:v>9.094947017729282e-13</x:v>
      </x:c>
      <x:c r="I9" s="27" t="n">
        <x:f>'计划购电量'!K9-'计划购电量'!B9</x:f>
        <x:v>-8.117978087296251</x:v>
      </x:c>
      <x:c r="J9" s="27" t="n">
        <x:f>'计划购电量'!L9-'计划购电量'!B9</x:f>
        <x:v>-2.1600499167107046e-12</x:v>
      </x:c>
      <x:c r="K9" s="27" t="n">
        <x:f>'计划购电量'!M9-'计划购电量'!B9</x:f>
        <x:v>-8.11797808729716</x:v>
      </x:c>
      <x:c r="L9" s="27" t="n">
        <x:f>'计划购电量'!N9-'计划购电量'!B9</x:f>
        <x:v>0</x:v>
      </x:c>
      <x:c r="M9" s="27" t="n">
        <x:f>'计划购电量'!O9-'计划购电量'!B9</x:f>
        <x:v>-6.821210263296962e-13</x:v>
      </x:c>
      <x:c r="N9" s="27" t="n">
        <x:f>'计划购电量'!P9-'计划购电量'!B9</x:f>
        <x:v>28.433531802891594</x:v>
      </x:c>
      <x:c r="O9" s="27" t="n">
        <x:f>'计划购电量'!Q9-'计划购电量'!B9</x:f>
        <x:v>22.536455357302884</x:v>
      </x:c>
      <x:c r="P9" s="27" t="n">
        <x:f>'计划购电量'!R9-'计划购电量'!B9</x:f>
        <x:v>-89.297758960274</x:v>
      </x:c>
    </x:row>
    <x:row r="10" ht="25" customHeight="1">
      <x:c r="A10" s="27" t="str">
        <x:f>'计划购电量'!A10</x:f>
        <x:v>1:20-1:30</x:v>
      </x:c>
      <x:c r="B10" s="27" t="n">
        <x:f>'计划购电量'!D10-'计划购电量'!B10</x:f>
        <x:v>-255.9644256269503</x:v>
      </x:c>
      <x:c r="C10" s="27" t="n">
        <x:f>'计划购电量'!E10-'计划购电量'!B10</x:f>
        <x:v>-1.0231815394945443e-12</x:v>
      </x:c>
      <x:c r="D10" s="27" t="n">
        <x:f>'计划购电量'!F10-'计划购电量'!B10</x:f>
        <x:v>-8.117978087299548</x:v>
      </x:c>
      <x:c r="E10" s="27" t="n">
        <x:f>'计划购电量'!G10-'计划购电量'!B10</x:f>
        <x:v>-8.117978087297274</x:v>
      </x:c>
      <x:c r="F10" s="27" t="n">
        <x:f>'计划购电量'!H10-'计划购电量'!B10</x:f>
        <x:v>-29.758893593263565</x:v>
      </x:c>
      <x:c r="G10" s="27" t="n">
        <x:f>'计划购电量'!I10-'计划购电量'!B10</x:f>
        <x:v>-37.54559900051845</x:v>
      </x:c>
      <x:c r="H10" s="27" t="n">
        <x:f>'计划购电量'!J10-'计划购电量'!B10</x:f>
        <x:v>6.821210263296962e-13</x:v>
      </x:c>
      <x:c r="I10" s="27" t="n">
        <x:f>'计划购电量'!K10-'计划购电量'!B10</x:f>
        <x:v>-8.117978087296478</x:v>
      </x:c>
      <x:c r="J10" s="27" t="n">
        <x:f>'计划购电量'!L10-'计划购电量'!B10</x:f>
        <x:v>-2.5011104298755527e-12</x:v>
      </x:c>
      <x:c r="K10" s="27" t="n">
        <x:f>'计划购电量'!M10-'计划购电量'!B10</x:f>
        <x:v>-8.117978087297388</x:v>
      </x:c>
      <x:c r="L10" s="27" t="n">
        <x:f>'计划购电量'!N10-'计划购电量'!B10</x:f>
        <x:v>-2.2737367544323206e-13</x:v>
      </x:c>
      <x:c r="M10" s="27" t="n">
        <x:f>'计划购电量'!O10-'计划购电量'!B10</x:f>
        <x:v>-9.094947017729282e-13</x:v>
      </x:c>
      <x:c r="N10" s="27" t="n">
        <x:f>'计划购电量'!P10-'计划购电量'!B10</x:f>
        <x:v>28.433531802891366</x:v>
      </x:c>
      <x:c r="O10" s="27" t="n">
        <x:f>'计划购电量'!Q10-'计划购电量'!B10</x:f>
        <x:v>22.536455357302657</x:v>
      </x:c>
      <x:c r="P10" s="27" t="n">
        <x:f>'计划购电量'!R10-'计划购电量'!B10</x:f>
        <x:v>-89.29775896027422</x:v>
      </x:c>
    </x:row>
    <x:row r="11" ht="25" customHeight="1">
      <x:c r="A11" s="27" t="str">
        <x:f>'计划购电量'!A11</x:f>
        <x:v>1:30-1:40</x:v>
      </x:c>
      <x:c r="B11" s="27" t="n">
        <x:f>'计划购电量'!D11-'计划购电量'!B11</x:f>
        <x:v>-417.85955179206417</x:v>
      </x:c>
      <x:c r="C11" s="27" t="n">
        <x:f>'计划购电量'!E11-'计划购电量'!B11</x:f>
        <x:v>1.0913936421275139e-11</x:v>
      </x:c>
      <x:c r="D11" s="27" t="n">
        <x:f>'计划购电量'!F11-'计划购电量'!B11</x:f>
        <x:v>-3.3464375857467985</x:v>
      </x:c>
      <x:c r="E11" s="27" t="n">
        <x:f>'计划购电量'!G11-'计划购电量'!B11</x:f>
        <x:v>-3.3464375857446385</x:v>
      </x:c>
      <x:c r="F11" s="27" t="n">
        <x:f>'计划购电量'!H11-'计划购电量'!B11</x:f>
        <x:v>-108.32068642504407</x:v>
      </x:c>
      <x:c r="G11" s="27" t="n">
        <x:f>'计划购电量'!I11-'计划购电量'!B11</x:f>
        <x:v>-366.1073918322991</x:v>
      </x:c>
      <x:c r="H11" s="27" t="n">
        <x:f>'计划购电量'!J11-'计划购电量'!B11</x:f>
        <x:v>-1.5916157281026244e-12</x:v>
      </x:c>
      <x:c r="I11" s="27" t="n">
        <x:f>'计划购电量'!K11-'计划购电量'!B11</x:f>
        <x:v>-3.346437585743729</x:v>
      </x:c>
      <x:c r="J11" s="27" t="n">
        <x:f>'计划购电量'!L11-'计划购电量'!B11</x:f>
        <x:v>1.0231815394945443e-12</x:v>
      </x:c>
      <x:c r="K11" s="27" t="n">
        <x:f>'计划购电量'!M11-'计划购电量'!B11</x:f>
        <x:v>-3.3464375857446385</x:v>
      </x:c>
      <x:c r="L11" s="27" t="n">
        <x:f>'计划购电量'!N11-'计划购电量'!B11</x:f>
        <x:v>-7.958078640513122e-12</x:v>
      </x:c>
      <x:c r="M11" s="27" t="n">
        <x:f>'计划购电量'!O11-'计划购电量'!B11</x:f>
        <x:v>1.0231815394945443e-12</x:v>
      </x:c>
      <x:c r="N11" s="27" t="n">
        <x:f>'计划购电量'!P11-'计划购电量'!B11</x:f>
        <x:v>-51.18035724520655</x:v>
      </x:c>
      <x:c r="O11" s="27" t="n">
        <x:f>'计划购电量'!Q11-'计划购电量'!B11</x:f>
        <x:v>-139.35867080781122</x:v>
      </x:c>
      <x:c r="P11" s="27" t="n">
        <x:f>'计划购电量'!R11-'计划购电量'!B11</x:f>
        <x:v>-251.19288512538822</x:v>
      </x:c>
    </x:row>
    <x:row r="12" ht="25" customHeight="1">
      <x:c r="A12" s="27" t="str">
        <x:f>'计划购电量'!A12</x:f>
        <x:v>1:40-1:50</x:v>
      </x:c>
      <x:c r="B12" s="27" t="n">
        <x:f>'计划购电量'!D12-'计划购电量'!B12</x:f>
        <x:v>-251.1928851253681</x:v>
      </x:c>
      <x:c r="C12" s="27" t="n">
        <x:f>'计划购电量'!E12-'计划购电量'!B12</x:f>
        <x:v>8.185452315956354e-12</x:v>
      </x:c>
      <x:c r="D12" s="27" t="n">
        <x:f>'计划购电量'!F12-'计划购电量'!B12</x:f>
        <x:v>19.10206009285787</x:v>
      </x:c>
      <x:c r="E12" s="27" t="n">
        <x:f>'计划购电量'!G12-'计划购电量'!B12</x:f>
        <x:v>19.102060092852867</x:v>
      </x:c>
      <x:c r="F12" s="27" t="n">
        <x:f>'计划购电量'!H12-'计划购电量'!B12</x:f>
        <x:v>-24.987353091710702</x:v>
      </x:c>
      <x:c r="G12" s="27" t="n">
        <x:f>'计划购电量'!I12-'计划购电量'!B12</x:f>
        <x:v>-251.19288512538913</x:v>
      </x:c>
      <x:c r="H12" s="27" t="n">
        <x:f>'计划购电量'!J12-'计划购电量'!B12</x:f>
        <x:v>-1.5916157281026244e-12</x:v>
      </x:c>
      <x:c r="I12" s="27" t="n">
        <x:f>'计划购电量'!K12-'计划购电量'!B12</x:f>
        <x:v>19.102060092851843</x:v>
      </x:c>
      <x:c r="J12" s="27" t="n">
        <x:f>'计划购电量'!L12-'计划购电量'!B12</x:f>
        <x:v>1.1368683772161603e-12</x:v>
      </x:c>
      <x:c r="K12" s="27" t="n">
        <x:f>'计划购电量'!M12-'计划购电量'!B12</x:f>
        <x:v>19.102060092854117</x:v>
      </x:c>
      <x:c r="L12" s="27" t="n">
        <x:f>'计划购电量'!N12-'计划购电量'!B12</x:f>
        <x:v>-8.071765478234738e-12</x:v>
      </x:c>
      <x:c r="M12" s="27" t="n">
        <x:f>'计划购电量'!O12-'计划购电量'!B12</x:f>
        <x:v>0</x:v>
      </x:c>
      <x:c r="N12" s="27" t="n">
        <x:f>'计划购电量'!P12-'计划购电量'!B12</x:f>
        <x:v>-51.18035724520655</x:v>
      </x:c>
      <x:c r="O12" s="27" t="n">
        <x:f>'计划购电量'!Q12-'计划购电量'!B12</x:f>
        <x:v>-139.35867080781134</x:v>
      </x:c>
      <x:c r="P12" s="27" t="n">
        <x:f>'计划购电量'!R12-'计划购电量'!B12</x:f>
        <x:v>-251.19288512538822</x:v>
      </x:c>
    </x:row>
    <x:row r="13" ht="25" customHeight="1">
      <x:c r="A13" s="27" t="str">
        <x:f>'计划购电量'!A13</x:f>
        <x:v>1:50-2:00</x:v>
      </x:c>
      <x:c r="B13" s="27" t="n">
        <x:f>'计划购电量'!D13-'计划购电量'!B13</x:f>
        <x:v>-251.1928851253881</x:v>
      </x:c>
      <x:c r="C13" s="27" t="n">
        <x:f>'计划购电量'!E13-'计划购电量'!B13</x:f>
        <x:v>-1.8189894035458565e-12</x:v>
      </x:c>
      <x:c r="D13" s="27" t="n">
        <x:f>'计划购电量'!F13-'计划购电量'!B13</x:f>
        <x:v>19.102060092857982</x:v>
      </x:c>
      <x:c r="E13" s="27" t="n">
        <x:f>'计划购电量'!G13-'计划购电量'!B13</x:f>
        <x:v>19.10206009285298</x:v>
      </x:c>
      <x:c r="F13" s="27" t="n">
        <x:f>'计划购电量'!H13-'计划购电量'!B13</x:f>
        <x:v>-108.32068642504396</x:v>
      </x:c>
      <x:c r="G13" s="27" t="n">
        <x:f>'计划购电量'!I13-'计划购电量'!B13</x:f>
        <x:v>-251.19288512538822</x:v>
      </x:c>
      <x:c r="H13" s="27" t="n">
        <x:f>'计划购电量'!J13-'计划购电量'!B13</x:f>
        <x:v>-1.3642420526593924e-12</x:v>
      </x:c>
      <x:c r="I13" s="27" t="n">
        <x:f>'计划购电量'!K13-'计划购电量'!B13</x:f>
        <x:v>19.102060092851957</x:v>
      </x:c>
      <x:c r="J13" s="27" t="n">
        <x:f>'计划购电量'!L13-'计划购电量'!B13</x:f>
        <x:v>1.1368683772161603e-12</x:v>
      </x:c>
      <x:c r="K13" s="27" t="n">
        <x:f>'计划购电量'!M13-'计划购电量'!B13</x:f>
        <x:v>19.10206009285423</x:v>
      </x:c>
      <x:c r="L13" s="27" t="n">
        <x:f>'计划购电量'!N13-'计划购电量'!B13</x:f>
        <x:v>-7.958078640513122e-12</x:v>
      </x:c>
      <x:c r="M13" s="27" t="n">
        <x:f>'计划购电量'!O13-'计划购电量'!B13</x:f>
        <x:v>1.1368683772161603e-12</x:v>
      </x:c>
      <x:c r="N13" s="27" t="n">
        <x:f>'计划购电量'!P13-'计划购电量'!B13</x:f>
        <x:v>-51.180357245206324</x:v>
      </x:c>
      <x:c r="O13" s="27" t="n">
        <x:f>'计划购电量'!Q13-'计划购电量'!B13</x:f>
        <x:v>-139.358670807811</x:v>
      </x:c>
      <x:c r="P13" s="27" t="n">
        <x:f>'计划购电量'!R13-'计划购电量'!B13</x:f>
        <x:v>-251.1928851253881</x:v>
      </x:c>
    </x:row>
    <x:row r="14" ht="25" customHeight="1">
      <x:c r="A14" s="27" t="str">
        <x:f>'计划购电量'!A14</x:f>
        <x:v>2:00-2:10</x:v>
      </x:c>
      <x:c r="B14" s="27" t="n">
        <x:f>'计划购电量'!D14-'计划购电量'!B14</x:f>
        <x:v>-251.1928851254081</x:v>
      </x:c>
      <x:c r="C14" s="27" t="n">
        <x:f>'计划购电量'!E14-'计划购电量'!B14</x:f>
        <x:v>-1.8189894035458565e-12</x:v>
      </x:c>
      <x:c r="D14" s="27" t="n">
        <x:f>'计划购电量'!F14-'计划购电量'!B14</x:f>
        <x:v>19.102060092858096</x:v>
      </x:c>
      <x:c r="E14" s="27" t="n">
        <x:f>'计划购电量'!G14-'计划购电量'!B14</x:f>
        <x:v>19.10206009285298</x:v>
      </x:c>
      <x:c r="F14" s="27" t="n">
        <x:f>'计划购电量'!H14-'计划购电量'!B14</x:f>
        <x:v>-120.27061585941385</x:v>
      </x:c>
      <x:c r="G14" s="27" t="n">
        <x:f>'计划购电量'!I14-'计划购电量'!B14</x:f>
        <x:v>-251.19288512538822</x:v>
      </x:c>
      <x:c r="H14" s="27" t="n">
        <x:f>'计划购电量'!J14-'计划购电量'!B14</x:f>
        <x:v>-1.4779288903810084e-12</x:v>
      </x:c>
      <x:c r="I14" s="27" t="n">
        <x:f>'计划购电量'!K14-'计划购电量'!B14</x:f>
        <x:v>19.10206009285207</x:v>
      </x:c>
      <x:c r="J14" s="27" t="n">
        <x:f>'计划购电量'!L14-'计划购电量'!B14</x:f>
        <x:v>1.2505552149377763e-12</x:v>
      </x:c>
      <x:c r="K14" s="27" t="n">
        <x:f>'计划购电量'!M14-'计划购电量'!B14</x:f>
        <x:v>19.102060092854117</x:v>
      </x:c>
      <x:c r="L14" s="27" t="n">
        <x:f>'计划购电量'!N14-'计划购电量'!B14</x:f>
        <x:v>-7.958078640513122e-12</x:v>
      </x:c>
      <x:c r="M14" s="27" t="n">
        <x:f>'计划购电量'!O14-'计划购电量'!B14</x:f>
        <x:v>1.2505552149377763e-12</x:v>
      </x:c>
      <x:c r="N14" s="27" t="n">
        <x:f>'计划购电量'!P14-'计划购电量'!B14</x:f>
        <x:v>-51.180357245206324</x:v>
      </x:c>
      <x:c r="O14" s="27" t="n">
        <x:f>'计划购电量'!Q14-'计划购电量'!B14</x:f>
        <x:v>-139.3586708078111</x:v>
      </x:c>
      <x:c r="P14" s="27" t="n">
        <x:f>'计划购电量'!R14-'计划购电量'!B14</x:f>
        <x:v>-251.1928851253881</x:v>
      </x:c>
    </x:row>
    <x:row r="15" ht="25" customHeight="1">
      <x:c r="A15" s="27" t="str">
        <x:f>'计划购电量'!A15</x:f>
        <x:v>2:10-2:20</x:v>
      </x:c>
      <x:c r="B15" s="27" t="n">
        <x:f>'计划购电量'!D15-'计划购电量'!B15</x:f>
        <x:v>-84.52621845871317</x:v>
      </x:c>
      <x:c r="C15" s="27" t="n">
        <x:f>'计划购电量'!E15-'计划购电量'!B15</x:f>
        <x:v>-1.0459189070388675e-11</x:v>
      </x:c>
      <x:c r="D15" s="27" t="n">
        <x:f>'计划购电量'!F15-'计划购电量'!B15</x:f>
        <x:v>19.10206009285821</x:v>
      </x:c>
      <x:c r="E15" s="27" t="n">
        <x:f>'计划购电量'!G15-'计划购电量'!B15</x:f>
        <x:v>19.10206009285298</x:v>
      </x:c>
      <x:c r="F15" s="27" t="n">
        <x:f>'计划购电量'!H15-'计划购电量'!B15</x:f>
        <x:v>-36.93728252608048</x:v>
      </x:c>
      <x:c r="G15" s="27" t="n">
        <x:f>'计划购电量'!I15-'计划购电量'!B15</x:f>
        <x:v>-84.52621845872113</x:v>
      </x:c>
      <x:c r="H15" s="27" t="n">
        <x:f>'计划购电量'!J15-'计划购电量'!B15</x:f>
        <x:v>-3.410605131648481e-13</x:v>
      </x:c>
      <x:c r="I15" s="27" t="n">
        <x:f>'计划购电量'!K15-'计划购电量'!B15</x:f>
        <x:v>19.10206009285207</x:v>
      </x:c>
      <x:c r="J15" s="27" t="n">
        <x:f>'计划购电量'!L15-'计划购电量'!B15</x:f>
        <x:v>1.3642420526593924e-12</x:v>
      </x:c>
      <x:c r="K15" s="27" t="n">
        <x:f>'计划购电量'!M15-'计划购电量'!B15</x:f>
        <x:v>19.10206009285696</x:v>
      </x:c>
      <x:c r="L15" s="27" t="n">
        <x:f>'计划购电量'!N15-'计划购电量'!B15</x:f>
        <x:v>-7.958078640513122e-12</x:v>
      </x:c>
      <x:c r="M15" s="27" t="n">
        <x:f>'计划购电量'!O15-'计划购电量'!B15</x:f>
        <x:v>1.3642420526593924e-12</x:v>
      </x:c>
      <x:c r="N15" s="27" t="n">
        <x:f>'计划购电量'!P15-'计划购电量'!B15</x:f>
        <x:v>-51.18035724520621</x:v>
      </x:c>
      <x:c r="O15" s="27" t="n">
        <x:f>'计划购电量'!Q15-'计划购电量'!B15</x:f>
        <x:v>-84.52621845871874</x:v>
      </x:c>
      <x:c r="P15" s="27" t="n">
        <x:f>'计划购电量'!R15-'计划购电量'!B15</x:f>
        <x:v>-84.52621845872136</x:v>
      </x:c>
    </x:row>
    <x:row r="16" ht="25" customHeight="1">
      <x:c r="A16" s="27" t="str">
        <x:f>'计划购电量'!A16</x:f>
        <x:v>2:20-2:30</x:v>
      </x:c>
      <x:c r="B16" s="27" t="n">
        <x:f>'计划购电量'!D16-'计划购电量'!B16</x:f>
        <x:v>-6.366462912410498e-12</x:v>
      </x:c>
      <x:c r="C16" s="27" t="n">
        <x:f>'计划购电量'!E16-'计划购电量'!B16</x:f>
        <x:v>2.5011104298755527e-12</x:v>
      </x:c>
      <x:c r="D16" s="27" t="n">
        <x:f>'计划购电量'!F16-'计划购电量'!B16</x:f>
        <x:v>2.6147972675971687e-12</x:v>
      </x:c>
      <x:c r="E16" s="27" t="n">
        <x:f>'计划购电量'!G16-'计划购电量'!B16</x:f>
        <x:v>2.5011104298755527e-12</x:v>
      </x:c>
      <x:c r="F16" s="27" t="n">
        <x:f>'计划购电量'!H16-'计划购电量'!B16</x:f>
        <x:v>3.183231456205249e-12</x:v>
      </x:c>
      <x:c r="G16" s="27" t="n">
        <x:f>'计划购电量'!I16-'计划购电量'!B16</x:f>
        <x:v>2.6147972675971687e-12</x:v>
      </x:c>
      <x:c r="H16" s="27" t="n">
        <x:f>'计划购电量'!J16-'计划购电量'!B16</x:f>
        <x:v>2.5011104298755527e-12</x:v>
      </x:c>
      <x:c r="I16" s="27" t="n">
        <x:f>'计划购电量'!K16-'计划购电量'!B16</x:f>
        <x:v>3.069544618483633e-12</x:v>
      </x:c>
      <x:c r="J16" s="27" t="n">
        <x:f>'计划购电量'!L16-'计划购电量'!B16</x:f>
        <x:v>2.6147972675971687e-12</x:v>
      </x:c>
      <x:c r="K16" s="27" t="n">
        <x:f>'计划购电量'!M16-'计划购电量'!B16</x:f>
        <x:v>2.9558577807620168e-12</x:v>
      </x:c>
      <x:c r="L16" s="27" t="n">
        <x:f>'计划购电量'!N16-'计划购电量'!B16</x:f>
        <x:v>7.16227077646181e-12</x:v>
      </x:c>
      <x:c r="M16" s="27" t="n">
        <x:f>'计划购电量'!O16-'计划购电量'!B16</x:f>
        <x:v>2.5011104298755527e-12</x:v>
      </x:c>
      <x:c r="N16" s="27" t="n">
        <x:f>'计划购电量'!P16-'计划购电量'!B16</x:f>
        <x:v>-3.524291969370097e-12</x:v>
      </x:c>
      <x:c r="O16" s="27" t="n">
        <x:f>'计划购电量'!Q16-'计划购电量'!B16</x:f>
        <x:v>5.115907697472721e-12</x:v>
      </x:c>
      <x:c r="P16" s="27" t="n">
        <x:f>'计划购电量'!R16-'计划购电量'!B16</x:f>
        <x:v>2.5011104298755527e-12</x:v>
      </x:c>
    </x:row>
    <x:row r="17" ht="25" customHeight="1">
      <x:c r="A17" s="27" t="str">
        <x:f>'计划购电量'!A17</x:f>
        <x:v>2:30-2:40</x:v>
      </x:c>
      <x:c r="B17" s="27" t="n">
        <x:f>'计划购电量'!D17-'计划购电量'!B17</x:f>
        <x:v>1.659827830735594e-11</x:v>
      </x:c>
      <x:c r="C17" s="27" t="n">
        <x:f>'计划购电量'!E17-'计划购电量'!B17</x:f>
        <x:v>0</x:v>
      </x:c>
      <x:c r="D17" s="27" t="n">
        <x:f>'计划购电量'!F17-'计划购电量'!B17</x:f>
        <x:v>0</x:v>
      </x:c>
      <x:c r="E17" s="27" t="n">
        <x:f>'计划购电量'!G17-'计划购电量'!B17</x:f>
        <x:v>0</x:v>
      </x:c>
      <x:c r="F17" s="27" t="n">
        <x:f>'计划购电量'!H17-'计划购电量'!B17</x:f>
        <x:v>0</x:v>
      </x:c>
      <x:c r="G17" s="27" t="n">
        <x:f>'计划购电量'!I17-'计划购电量'!B17</x:f>
        <x:v>-4.547473508864641e-13</x:v>
      </x:c>
      <x:c r="H17" s="27" t="n">
        <x:f>'计划购电量'!J17-'计划购电量'!B17</x:f>
        <x:v>-6.821210263296962e-13</x:v>
      </x:c>
      <x:c r="I17" s="27" t="n">
        <x:f>'计划购电量'!K17-'计划购电量'!B17</x:f>
        <x:v>-7.958078640513122e-13</x:v>
      </x:c>
      <x:c r="J17" s="27" t="n">
        <x:f>'计划购电量'!L17-'计划购电量'!B17</x:f>
        <x:v>-5.684341886080801e-13</x:v>
      </x:c>
      <x:c r="K17" s="27" t="n">
        <x:f>'计划购电量'!M17-'计划购电量'!B17</x:f>
        <x:v>-2.2737367544323206e-13</x:v>
      </x:c>
      <x:c r="L17" s="27" t="n">
        <x:f>'计划购电量'!N17-'计划购电量'!B17</x:f>
        <x:v>4.092726157978177e-12</x:v>
      </x:c>
      <x:c r="M17" s="27" t="n">
        <x:f>'计划购电量'!O17-'计划购电量'!B17</x:f>
        <x:v>0</x:v>
      </x:c>
      <x:c r="N17" s="27" t="n">
        <x:f>'计划购电量'!P17-'计划购电量'!B17</x:f>
        <x:v>-6.59383658785373e-12</x:v>
      </x:c>
      <x:c r="O17" s="27" t="n">
        <x:f>'计划购电量'!Q17-'计划购电量'!B17</x:f>
        <x:v>2.0463630789890885e-12</x:v>
      </x:c>
      <x:c r="P17" s="27" t="n">
        <x:f>'计划购电量'!R17-'计划购电量'!B17</x:f>
        <x:v>-5.684341886080801e-13</x:v>
      </x:c>
    </x:row>
    <x:row r="18" ht="25" customHeight="1">
      <x:c r="A18" s="27" t="str">
        <x:f>'计划购电量'!A18</x:f>
        <x:v>2:40-2:50</x:v>
      </x:c>
      <x:c r="B18" s="27" t="n">
        <x:f>'计划购电量'!D18-'计划购电量'!B18</x:f>
        <x:v>1.7053025658242404e-11</x:v>
      </x:c>
      <x:c r="C18" s="27" t="n">
        <x:f>'计划购电量'!E18-'计划购电量'!B18</x:f>
        <x:v>0</x:v>
      </x:c>
      <x:c r="D18" s="27" t="n">
        <x:f>'计划购电量'!F18-'计划购电量'!B18</x:f>
        <x:v>0</x:v>
      </x:c>
      <x:c r="E18" s="27" t="n">
        <x:f>'计划购电量'!G18-'计划购电量'!B18</x:f>
        <x:v>0</x:v>
      </x:c>
      <x:c r="F18" s="27" t="n">
        <x:f>'计划购电量'!H18-'计划购电量'!B18</x:f>
        <x:v>-3.410605131648481e-13</x:v>
      </x:c>
      <x:c r="G18" s="27" t="n">
        <x:f>'计划购电量'!I18-'计划购电量'!B18</x:f>
        <x:v>-3.410605131648481e-13</x:v>
      </x:c>
      <x:c r="H18" s="27" t="n">
        <x:f>'计划购电量'!J18-'计划购电量'!B18</x:f>
        <x:v>0</x:v>
      </x:c>
      <x:c r="I18" s="27" t="n">
        <x:f>'计划购电量'!K18-'计划购电量'!B18</x:f>
        <x:v>2.2737367544323206e-13</x:v>
      </x:c>
      <x:c r="J18" s="27" t="n">
        <x:f>'计划购电量'!L18-'计划购电量'!B18</x:f>
        <x:v>-5.684341886080801e-13</x:v>
      </x:c>
      <x:c r="K18" s="27" t="n">
        <x:f>'计划购电量'!M18-'计划购电量'!B18</x:f>
        <x:v>4.547473508864641e-13</x:v>
      </x:c>
      <x:c r="L18" s="27" t="n">
        <x:f>'计划购电量'!N18-'计划购电量'!B18</x:f>
        <x:v>1.7053025658242404e-11</x:v>
      </x:c>
      <x:c r="M18" s="27" t="n">
        <x:f>'计划购电量'!O18-'计划购电量'!B18</x:f>
        <x:v>6.821210263296962e-13</x:v>
      </x:c>
      <x:c r="N18" s="27" t="n">
        <x:f>'计划购电量'!P18-'计划购电量'!B18</x:f>
        <x:v>-6.139089236967266e-12</x:v>
      </x:c>
      <x:c r="O18" s="27" t="n">
        <x:f>'计划购电量'!Q18-'计划购电量'!B18</x:f>
        <x:v>2.7284841053187847e-12</x:v>
      </x:c>
      <x:c r="P18" s="27" t="n">
        <x:f>'计划购电量'!R18-'计划购电量'!B18</x:f>
        <x:v>1.1368683772161603e-13</x:v>
      </x:c>
    </x:row>
    <x:row r="19" ht="25" customHeight="1">
      <x:c r="A19" s="27" t="str">
        <x:f>'计划购电量'!A19</x:f>
        <x:v>2:50-3:00</x:v>
      </x:c>
      <x:c r="B19" s="27" t="n">
        <x:f>'计划购电量'!D19-'计划购电量'!B19</x:f>
        <x:v>-3.296918293926865e-12</x:v>
      </x:c>
      <x:c r="C19" s="27" t="n">
        <x:f>'计划购电量'!E19-'计划购电量'!B19</x:f>
        <x:v>0</x:v>
      </x:c>
      <x:c r="D19" s="27" t="n">
        <x:f>'计划购电量'!F19-'计划购电量'!B19</x:f>
        <x:v>0</x:v>
      </x:c>
      <x:c r="E19" s="27" t="n">
        <x:f>'计划购电量'!G19-'计划购电量'!B19</x:f>
        <x:v>0</x:v>
      </x:c>
      <x:c r="F19" s="27" t="n">
        <x:f>'计划购电量'!H19-'计划购电量'!B19</x:f>
        <x:v>-1.2505552149377763e-12</x:v>
      </x:c>
      <x:c r="G19" s="27" t="n">
        <x:f>'计划购电量'!I19-'计划购电量'!B19</x:f>
        <x:v>-1.0231815394945443e-12</x:v>
      </x:c>
      <x:c r="H19" s="27" t="n">
        <x:f>'计划购电量'!J19-'计划购电量'!B19</x:f>
        <x:v>-6.821210263296962e-13</x:v>
      </x:c>
      <x:c r="I19" s="27" t="n">
        <x:f>'计划购电量'!K19-'计划购电量'!B19</x:f>
        <x:v>-4.547473508864641e-13</x:v>
      </x:c>
      <x:c r="J19" s="27" t="n">
        <x:f>'计划购电量'!L19-'计划购电量'!B19</x:f>
        <x:v>-1.2505552149377763e-12</x:v>
      </x:c>
      <x:c r="K19" s="27" t="n">
        <x:f>'计划购电量'!M19-'计划购电量'!B19</x:f>
        <x:v>-1.3642420526593924e-12</x:v>
      </x:c>
      <x:c r="L19" s="27" t="n">
        <x:f>'计划购电量'!N19-'计划购电量'!B19</x:f>
        <x:v>2.6147972675971687e-12</x:v>
      </x:c>
      <x:c r="M19" s="27" t="n">
        <x:f>'计划购电量'!O19-'计划购电量'!B19</x:f>
        <x:v>0</x:v>
      </x:c>
      <x:c r="N19" s="27" t="n">
        <x:f>'计划购电量'!P19-'计划购电量'!B19</x:f>
        <x:v>1.8417267710901797e-11</x:v>
      </x:c>
      <x:c r="O19" s="27" t="n">
        <x:f>'计划购电量'!Q19-'计划购电量'!B19</x:f>
        <x:v>1.4097167877480388e-11</x:v>
      </x:c>
      <x:c r="P19" s="27" t="n">
        <x:f>'计划购电量'!R19-'计划购电量'!B19</x:f>
        <x:v>-5.684341886080801e-13</x:v>
      </x:c>
    </x:row>
    <x:row r="20" ht="25" customHeight="1">
      <x:c r="A20" s="27" t="str">
        <x:f>'计划购电量'!A20</x:f>
        <x:v>3:00-3:10</x:v>
      </x:c>
      <x:c r="B20" s="27" t="n">
        <x:f>'计划购电量'!D20-'计划购电量'!B20</x:f>
        <x:v>1.0913936421275139e-11</x:v>
      </x:c>
      <x:c r="C20" s="27" t="n">
        <x:f>'计划购电量'!E20-'计划购电量'!B20</x:f>
        <x:v>0</x:v>
      </x:c>
      <x:c r="D20" s="27" t="n">
        <x:f>'计划购电量'!F20-'计划购电量'!B20</x:f>
        <x:v>0</x:v>
      </x:c>
      <x:c r="E20" s="27" t="n">
        <x:f>'计划购电量'!G20-'计划购电量'!B20</x:f>
        <x:v>0</x:v>
      </x:c>
      <x:c r="F20" s="27" t="n">
        <x:f>'计划购电量'!H20-'计划购电量'!B20</x:f>
        <x:v>-1.5916157281026244e-12</x:v>
      </x:c>
      <x:c r="G20" s="27" t="n">
        <x:f>'计划购电量'!I20-'计划购电量'!B20</x:f>
        <x:v>-1.0231815394945443e-12</x:v>
      </x:c>
      <x:c r="H20" s="27" t="n">
        <x:f>'计划购电量'!J20-'计划购电量'!B20</x:f>
        <x:v>-6.821210263296962e-13</x:v>
      </x:c>
      <x:c r="I20" s="27" t="n">
        <x:f>'计划购电量'!K20-'计划购电量'!B20</x:f>
        <x:v>-4.547473508864641e-13</x:v>
      </x:c>
      <x:c r="J20" s="27" t="n">
        <x:f>'计划购电量'!L20-'计划购电量'!B20</x:f>
        <x:v>0</x:v>
      </x:c>
      <x:c r="K20" s="27" t="n">
        <x:f>'计划购电量'!M20-'计划购电量'!B20</x:f>
        <x:v>-6.821210263296962e-13</x:v>
      </x:c>
      <x:c r="L20" s="27" t="n">
        <x:f>'计划购电量'!N20-'计划购电量'!B20</x:f>
        <x:v>-3.410605131648481e-13</x:v>
      </x:c>
      <x:c r="M20" s="27" t="n">
        <x:f>'计划购电量'!O20-'计划购电量'!B20</x:f>
        <x:v>-4.547473508864641e-13</x:v>
      </x:c>
      <x:c r="N20" s="27" t="n">
        <x:f>'计划购电量'!P20-'计划购电量'!B20</x:f>
        <x:v>4.320099833421409e-12</x:v>
      </x:c>
      <x:c r="O20" s="27" t="n">
        <x:f>'计划购电量'!Q20-'计划购电量'!B20</x:f>
        <x:v>1.5688783605583012e-11</x:v>
      </x:c>
      <x:c r="P20" s="27" t="n">
        <x:f>'计划购电量'!R20-'计划购电量'!B20</x:f>
        <x:v>-5.684341886080801e-13</x:v>
      </x:c>
    </x:row>
    <x:row r="21" ht="25" customHeight="1">
      <x:c r="A21" s="27" t="str">
        <x:f>'计划购电量'!A21</x:f>
        <x:v>3:10-3:20</x:v>
      </x:c>
      <x:c r="B21" s="27" t="n">
        <x:f>'计划购电量'!D21-'计划购电量'!B21</x:f>
        <x:v>-1.8985701899509877e-11</x:v>
      </x:c>
      <x:c r="C21" s="27" t="n">
        <x:f>'计划购电量'!E21-'计划购电量'!B21</x:f>
        <x:v>-4.547473508864641e-13</x:v>
      </x:c>
      <x:c r="D21" s="27" t="n">
        <x:f>'计划购电量'!F21-'计划购电量'!B21</x:f>
        <x:v>0</x:v>
      </x:c>
      <x:c r="E21" s="27" t="n">
        <x:f>'计划购电量'!G21-'计划购电量'!B21</x:f>
        <x:v>0</x:v>
      </x:c>
      <x:c r="F21" s="27" t="n">
        <x:f>'计划购电量'!H21-'计划购电量'!B21</x:f>
        <x:v>-3.751665644813329e-12</x:v>
      </x:c>
      <x:c r="G21" s="27" t="n">
        <x:f>'计划购电量'!I21-'计划购电量'!B21</x:f>
        <x:v>-1.0231815394945443e-12</x:v>
      </x:c>
      <x:c r="H21" s="27" t="n">
        <x:f>'计划购电量'!J21-'计划购电量'!B21</x:f>
        <x:v>-5.684341886080801e-13</x:v>
      </x:c>
      <x:c r="I21" s="27" t="n">
        <x:f>'计划购电量'!K21-'计划购电量'!B21</x:f>
        <x:v>-4.547473508864641e-13</x:v>
      </x:c>
      <x:c r="J21" s="27" t="n">
        <x:f>'计划购电量'!L21-'计划购电量'!B21</x:f>
        <x:v>0</x:v>
      </x:c>
      <x:c r="K21" s="27" t="n">
        <x:f>'计划购电量'!M21-'计划购电量'!B21</x:f>
        <x:v>-5.684341886080801e-13</x:v>
      </x:c>
      <x:c r="L21" s="27" t="n">
        <x:f>'计划购电量'!N21-'计划购电量'!B21</x:f>
        <x:v>-3.410605131648481e-13</x:v>
      </x:c>
      <x:c r="M21" s="27" t="n">
        <x:f>'计划购电量'!O21-'计划购电量'!B21</x:f>
        <x:v>-4.547473508864641e-13</x:v>
      </x:c>
      <x:c r="N21" s="27" t="n">
        <x:f>'计划购电量'!P21-'计划购电量'!B21</x:f>
        <x:v>4.433786671143025e-12</x:v>
      </x:c>
      <x:c r="O21" s="27" t="n">
        <x:f>'计划购电量'!Q21-'计划购电量'!B21</x:f>
        <x:v>-1.1368683772161603e-11</x:v>
      </x:c>
      <x:c r="P21" s="27" t="n">
        <x:f>'计划购电量'!R21-'计划购电量'!B21</x:f>
        <x:v>-5.684341886080801e-13</x:v>
      </x:c>
    </x:row>
    <x:row r="22" ht="25" customHeight="1">
      <x:c r="A22" s="27" t="str">
        <x:f>'计划购电量'!A22</x:f>
        <x:v>3:20-3:30</x:v>
      </x:c>
      <x:c r="B22" s="27" t="n">
        <x:f>'计划购电量'!D22-'计划购电量'!B22</x:f>
        <x:v>1.7053025658242404e-12</x:v>
      </x:c>
      <x:c r="C22" s="27" t="n">
        <x:f>'计划购电量'!E22-'计划购电量'!B22</x:f>
        <x:v>0</x:v>
      </x:c>
      <x:c r="D22" s="27" t="n">
        <x:f>'计划购电量'!F22-'计划购电量'!B22</x:f>
        <x:v>0</x:v>
      </x:c>
      <x:c r="E22" s="27" t="n">
        <x:f>'计划购电量'!G22-'计划购电量'!B22</x:f>
        <x:v>0</x:v>
      </x:c>
      <x:c r="F22" s="27" t="n">
        <x:f>'计划购电量'!H22-'计划购电量'!B22</x:f>
        <x:v>-3.069544618483633e-12</x:v>
      </x:c>
      <x:c r="G22" s="27" t="n">
        <x:f>'计划购电量'!I22-'计划购电量'!B22</x:f>
        <x:v>7.275957614183426e-12</x:v>
      </x:c>
      <x:c r="H22" s="27" t="n">
        <x:f>'计划购电量'!J22-'计划购电量'!B22</x:f>
        <x:v>0</x:v>
      </x:c>
      <x:c r="I22" s="27" t="n">
        <x:f>'计划购电量'!K22-'计划购电量'!B22</x:f>
        <x:v>2.2737367544323206e-13</x:v>
      </x:c>
      <x:c r="J22" s="27" t="n">
        <x:f>'计划购电量'!L22-'计划购电量'!B22</x:f>
        <x:v>1.1368683772161603e-13</x:v>
      </x:c>
      <x:c r="K22" s="27" t="n">
        <x:f>'计划购电量'!M22-'计划购电量'!B22</x:f>
        <x:v>0</x:v>
      </x:c>
      <x:c r="L22" s="27" t="n">
        <x:f>'计划购电量'!N22-'计划购电量'!B22</x:f>
        <x:v>3.410605131648481e-13</x:v>
      </x:c>
      <x:c r="M22" s="27" t="n">
        <x:f>'计划购电量'!O22-'计划购电量'!B22</x:f>
        <x:v>6.821210263296962e-13</x:v>
      </x:c>
      <x:c r="N22" s="27" t="n">
        <x:f>'计划购电量'!P22-'计划购电量'!B22</x:f>
        <x:v>5.002220859751105e-12</x:v>
      </x:c>
      <x:c r="O22" s="27" t="n">
        <x:f>'计划购电量'!Q22-'计划购电量'!B22</x:f>
        <x:v>-1.0686562745831907e-11</x:v>
      </x:c>
      <x:c r="P22" s="27" t="n">
        <x:f>'计划购电量'!R22-'计划购电量'!B22</x:f>
        <x:v>1.1368683772161603e-13</x:v>
      </x:c>
    </x:row>
    <x:row r="23" ht="25" customHeight="1">
      <x:c r="A23" s="27" t="str">
        <x:f>'计划购电量'!A23</x:f>
        <x:v>3:30-3:40</x:v>
      </x:c>
      <x:c r="B23" s="27" t="n">
        <x:f>'计划购电量'!D23-'计划购电量'!B23</x:f>
        <x:v>-1.6484591469634324e-11</x:v>
      </x:c>
      <x:c r="C23" s="27" t="n">
        <x:f>'计划购电量'!E23-'计划购电量'!B23</x:f>
        <x:v>-1.1368683772161603e-13</x:v>
      </x:c>
      <x:c r="D23" s="27" t="n">
        <x:f>'计划购电量'!F23-'计划购电量'!B23</x:f>
        <x:v>0</x:v>
      </x:c>
      <x:c r="E23" s="27" t="n">
        <x:f>'计划购电量'!G23-'计划购电量'!B23</x:f>
        <x:v>0</x:v>
      </x:c>
      <x:c r="F23" s="27" t="n">
        <x:f>'计划购电量'!H23-'计划购电量'!B23</x:f>
        <x:v>2.6147972675971687e-12</x:v>
      </x:c>
      <x:c r="G23" s="27" t="n">
        <x:f>'计划购电量'!I23-'计划购电量'!B23</x:f>
        <x:v>7.16227077646181e-12</x:v>
      </x:c>
      <x:c r="H23" s="27" t="n">
        <x:f>'计划购电量'!J23-'计划购电量'!B23</x:f>
        <x:v>0</x:v>
      </x:c>
      <x:c r="I23" s="27" t="n">
        <x:f>'计划购电量'!K23-'计划购电量'!B23</x:f>
        <x:v>1.1368683772161603e-13</x:v>
      </x:c>
      <x:c r="J23" s="27" t="n">
        <x:f>'计划购电量'!L23-'计划购电量'!B23</x:f>
        <x:v>0</x:v>
      </x:c>
      <x:c r="K23" s="27" t="n">
        <x:f>'计划购电量'!M23-'计划购电量'!B23</x:f>
        <x:v>0</x:v>
      </x:c>
      <x:c r="L23" s="27" t="n">
        <x:f>'计划购电量'!N23-'计划购电量'!B23</x:f>
        <x:v>2.2737367544323206e-13</x:v>
      </x:c>
      <x:c r="M23" s="27" t="n">
        <x:f>'计划购电量'!O23-'计划购电量'!B23</x:f>
        <x:v>-1.1368683772161603e-13</x:v>
      </x:c>
      <x:c r="N23" s="27" t="n">
        <x:f>'计划购电量'!P23-'计划购电量'!B23</x:f>
        <x:v>5.002220859751105e-12</x:v>
      </x:c>
      <x:c r="O23" s="27" t="n">
        <x:f>'计划购电量'!Q23-'计划购电量'!B23</x:f>
        <x:v>-1.0800249583553523e-11</x:v>
      </x:c>
      <x:c r="P23" s="27" t="n">
        <x:f>'计划购电量'!R23-'计划购电量'!B23</x:f>
        <x:v>0</x:v>
      </x:c>
    </x:row>
    <x:row r="24" ht="25" customHeight="1">
      <x:c r="A24" s="27" t="str">
        <x:f>'计划购电量'!A24</x:f>
        <x:v>3:40-3:50</x:v>
      </x:c>
      <x:c r="B24" s="27" t="n">
        <x:f>'计划购电量'!D24-'计划购电量'!B24</x:f>
        <x:v>-1.6370904631912708e-11</x:v>
      </x:c>
      <x:c r="C24" s="27" t="n">
        <x:f>'计划购电量'!E24-'计划购电量'!B24</x:f>
        <x:v>-2.2737367544323206e-13</x:v>
      </x:c>
      <x:c r="D24" s="27" t="n">
        <x:f>'计划购电量'!F24-'计划购电量'!B24</x:f>
        <x:v>4.547473508864641e-13</x:v>
      </x:c>
      <x:c r="E24" s="27" t="n">
        <x:f>'计划购电量'!G24-'计划购电量'!B24</x:f>
        <x:v>4.547473508864641e-13</x:v>
      </x:c>
      <x:c r="F24" s="27" t="n">
        <x:f>'计划购电量'!H24-'计划购电量'!B24</x:f>
        <x:v>4.547473508864641e-13</x:v>
      </x:c>
      <x:c r="G24" s="27" t="n">
        <x:f>'计划购电量'!I24-'计划购电量'!B24</x:f>
        <x:v>7.048583938740194e-12</x:v>
      </x:c>
      <x:c r="H24" s="27" t="n">
        <x:f>'计划购电量'!J24-'计划购电量'!B24</x:f>
        <x:v>-2.2737367544323206e-13</x:v>
      </x:c>
      <x:c r="I24" s="27" t="n">
        <x:f>'计划购电量'!K24-'计划购电量'!B24</x:f>
        <x:v>0</x:v>
      </x:c>
      <x:c r="J24" s="27" t="n">
        <x:f>'计划购电量'!L24-'计划购电量'!B24</x:f>
        <x:v>4.547473508864641e-13</x:v>
      </x:c>
      <x:c r="K24" s="27" t="n">
        <x:f>'计划购电量'!M24-'计划购电量'!B24</x:f>
        <x:v>1.1368683772161603e-12</x:v>
      </x:c>
      <x:c r="L24" s="27" t="n">
        <x:f>'计划购电量'!N24-'计划购电量'!B24</x:f>
        <x:v>1.1368683772161603e-13</x:v>
      </x:c>
      <x:c r="M24" s="27" t="n">
        <x:f>'计划购电量'!O24-'计划购电量'!B24</x:f>
        <x:v>0</x:v>
      </x:c>
      <x:c r="N24" s="27" t="n">
        <x:f>'计划购电量'!P24-'计划购电量'!B24</x:f>
        <x:v>4.774847184307873e-12</x:v>
      </x:c>
      <x:c r="O24" s="27" t="n">
        <x:f>'计划购电量'!Q24-'计划购电量'!B24</x:f>
        <x:v>-1.0913936421275139e-11</x:v>
      </x:c>
      <x:c r="P24" s="27" t="n">
        <x:f>'计划购电量'!R24-'计划购电量'!B24</x:f>
        <x:v>-1.1368683772161603e-13</x:v>
      </x:c>
    </x:row>
    <x:row r="25" ht="25" customHeight="1">
      <x:c r="A25" s="27" t="str">
        <x:f>'计划购电量'!A25</x:f>
        <x:v>3:50-4:00</x:v>
      </x:c>
      <x:c r="B25" s="27" t="n">
        <x:f>'计划购电量'!D25-'计划购电量'!B25</x:f>
        <x:v>1.2505552149377763e-12</x:v>
      </x:c>
      <x:c r="C25" s="27" t="n">
        <x:f>'计划购电量'!E25-'计划购电量'!B25</x:f>
        <x:v>0</x:v>
      </x:c>
      <x:c r="D25" s="27" t="n">
        <x:f>'计划购电量'!F25-'计划购电量'!B25</x:f>
        <x:v>0</x:v>
      </x:c>
      <x:c r="E25" s="27" t="n">
        <x:f>'计划购电量'!G25-'计划购电量'!B25</x:f>
        <x:v>0</x:v>
      </x:c>
      <x:c r="F25" s="27" t="n">
        <x:f>'计划购电量'!H25-'计划购电量'!B25</x:f>
        <x:v>0</x:v>
      </x:c>
      <x:c r="G25" s="27" t="n">
        <x:f>'计划购电量'!I25-'计划购电量'!B25</x:f>
        <x:v>-3.296918293926865e-12</x:v>
      </x:c>
      <x:c r="H25" s="27" t="n">
        <x:f>'计划购电量'!J25-'计划购电量'!B25</x:f>
        <x:v>0</x:v>
      </x:c>
      <x:c r="I25" s="27" t="n">
        <x:f>'计划购电量'!K25-'计划购电量'!B25</x:f>
        <x:v>1.1368683772161603e-13</x:v>
      </x:c>
      <x:c r="J25" s="27" t="n">
        <x:f>'计划购电量'!L25-'计划购电量'!B25</x:f>
        <x:v>6.821210263296962e-13</x:v>
      </x:c>
      <x:c r="K25" s="27" t="n">
        <x:f>'计划购电量'!M25-'计划购电量'!B25</x:f>
        <x:v>3.410605131648481e-12</x:v>
      </x:c>
      <x:c r="L25" s="27" t="n">
        <x:f>'计划购电量'!N25-'计划购电量'!B25</x:f>
        <x:v>2.2737367544323206e-13</x:v>
      </x:c>
      <x:c r="M25" s="27" t="n">
        <x:f>'计划购电量'!O25-'计划购电量'!B25</x:f>
        <x:v>-2.2737367544323206e-13</x:v>
      </x:c>
      <x:c r="N25" s="27" t="n">
        <x:f>'计划购电量'!P25-'计划购电量'!B25</x:f>
        <x:v>-3.865352482534945e-12</x:v>
      </x:c>
      <x:c r="O25" s="27" t="n">
        <x:f>'计划购电量'!Q25-'计划购电量'!B25</x:f>
        <x:v>-1.0800249583553523e-11</x:v>
      </x:c>
      <x:c r="P25" s="27" t="n">
        <x:f>'计划购电量'!R25-'计划购电量'!B25</x:f>
        <x:v>0</x:v>
      </x:c>
    </x:row>
    <x:row r="26" ht="25" customHeight="1">
      <x:c r="A26" s="27" t="str">
        <x:f>'计划购电量'!A26</x:f>
        <x:v>4:00-4:10</x:v>
      </x:c>
      <x:c r="B26" s="27" t="n">
        <x:f>'计划购电量'!D26-'计划购电量'!B26</x:f>
        <x:v>1.7053025658242404e-12</x:v>
      </x:c>
      <x:c r="C26" s="27" t="n">
        <x:f>'计划购电量'!E26-'计划购电量'!B26</x:f>
        <x:v>0</x:v>
      </x:c>
      <x:c r="D26" s="27" t="n">
        <x:f>'计划购电量'!F26-'计划购电量'!B26</x:f>
        <x:v>0</x:v>
      </x:c>
      <x:c r="E26" s="27" t="n">
        <x:f>'计划购电量'!G26-'计划购电量'!B26</x:f>
        <x:v>0</x:v>
      </x:c>
      <x:c r="F26" s="27" t="n">
        <x:f>'计划购电量'!H26-'计划购电量'!B26</x:f>
        <x:v>0</x:v>
      </x:c>
      <x:c r="G26" s="27" t="n">
        <x:f>'计划购电量'!I26-'计划购电量'!B26</x:f>
        <x:v>-3.751665644813329e-12</x:v>
      </x:c>
      <x:c r="H26" s="27" t="n">
        <x:f>'计划购电量'!J26-'计划购电量'!B26</x:f>
        <x:v>-6.821210263296962e-13</x:v>
      </x:c>
      <x:c r="I26" s="27" t="n">
        <x:f>'计划购电量'!K26-'计划购电量'!B26</x:f>
        <x:v>-5.684341886080801e-13</x:v>
      </x:c>
      <x:c r="J26" s="27" t="n">
        <x:f>'计划购电量'!L26-'计划购电量'!B26</x:f>
        <x:v>1.1368683772161603e-13</x:v>
      </x:c>
      <x:c r="K26" s="27" t="n">
        <x:f>'计划购电量'!M26-'计划购电量'!B26</x:f>
        <x:v>-3.410605131648481e-13</x:v>
      </x:c>
      <x:c r="L26" s="27" t="n">
        <x:f>'计划购电量'!N26-'计划购电量'!B26</x:f>
        <x:v>-3.410605131648481e-13</x:v>
      </x:c>
      <x:c r="M26" s="27" t="n">
        <x:f>'计划购电量'!O26-'计划购电量'!B26</x:f>
        <x:v>-5.684341886080801e-13</x:v>
      </x:c>
      <x:c r="N26" s="27" t="n">
        <x:f>'计划购电量'!P26-'计划购电量'!B26</x:f>
        <x:v>-4.433786671143025e-12</x:v>
      </x:c>
      <x:c r="O26" s="27" t="n">
        <x:f>'计划购电量'!Q26-'计划购电量'!B26</x:f>
        <x:v>-1.1482370609883219e-11</x:v>
      </x:c>
      <x:c r="P26" s="27" t="n">
        <x:f>'计划购电量'!R26-'计划购电量'!B26</x:f>
        <x:v>-5.684341886080801e-13</x:v>
      </x:c>
    </x:row>
    <x:row r="27" ht="25" customHeight="1">
      <x:c r="A27" s="27" t="str">
        <x:f>'计划购电量'!A27</x:f>
        <x:v>4:10-4:20</x:v>
      </x:c>
      <x:c r="B27" s="27" t="n">
        <x:f>'计划购电量'!D27-'计划购电量'!B27</x:f>
        <x:v>6.821210263296962e-13</x:v>
      </x:c>
      <x:c r="C27" s="27" t="n">
        <x:f>'计划购电量'!E27-'计划购电量'!B27</x:f>
        <x:v>1.1368683772161603e-13</x:v>
      </x:c>
      <x:c r="D27" s="27" t="n">
        <x:f>'计划购电量'!F27-'计划购电量'!B27</x:f>
        <x:v>0</x:v>
      </x:c>
      <x:c r="E27" s="27" t="n">
        <x:f>'计划购电量'!G27-'计划购电量'!B27</x:f>
        <x:v>0</x:v>
      </x:c>
      <x:c r="F27" s="27" t="n">
        <x:f>'计划购电量'!H27-'计划购电量'!B27</x:f>
        <x:v>0</x:v>
      </x:c>
      <x:c r="G27" s="27" t="n">
        <x:f>'计划购电量'!I27-'计划购电量'!B27</x:f>
        <x:v>-3.637978807091713e-12</x:v>
      </x:c>
      <x:c r="H27" s="27" t="n">
        <x:f>'计划购电量'!J27-'计划购电量'!B27</x:f>
        <x:v>-5.684341886080801e-13</x:v>
      </x:c>
      <x:c r="I27" s="27" t="n">
        <x:f>'计划购电量'!K27-'计划购电量'!B27</x:f>
        <x:v>-4.547473508864641e-13</x:v>
      </x:c>
      <x:c r="J27" s="27" t="n">
        <x:f>'计划购电量'!L27-'计划购电量'!B27</x:f>
        <x:v>0</x:v>
      </x:c>
      <x:c r="K27" s="27" t="n">
        <x:f>'计划购电量'!M27-'计划购电量'!B27</x:f>
        <x:v>-3.183231456205249e-12</x:v>
      </x:c>
      <x:c r="L27" s="27" t="n">
        <x:f>'计划购电量'!N27-'计划购电量'!B27</x:f>
        <x:v>-2.2737367544323206e-13</x:v>
      </x:c>
      <x:c r="M27" s="27" t="n">
        <x:f>'计划购电量'!O27-'计划购电量'!B27</x:f>
        <x:v>0</x:v>
      </x:c>
      <x:c r="N27" s="27" t="n">
        <x:f>'计划购电量'!P27-'计划购电量'!B27</x:f>
        <x:v>-4.320099833421409e-12</x:v>
      </x:c>
      <x:c r="O27" s="27" t="n">
        <x:f>'计划购电量'!Q27-'计划购电量'!B27</x:f>
        <x:v>-1.1368683772161603e-11</x:v>
      </x:c>
      <x:c r="P27" s="27" t="n">
        <x:f>'计划购电量'!R27-'计划购电量'!B27</x:f>
        <x:v>-4.547473508864641e-13</x:v>
      </x:c>
    </x:row>
    <x:row r="28" ht="25" customHeight="1">
      <x:c r="A28" s="27" t="str">
        <x:f>'计划购电量'!A28</x:f>
        <x:v>4:20-4:30</x:v>
      </x:c>
      <x:c r="B28" s="27" t="n">
        <x:f>'计划购电量'!D28-'计划购电量'!B28</x:f>
        <x:v>2.2737367544323206e-12</x:v>
      </x:c>
      <x:c r="C28" s="27" t="n">
        <x:f>'计划购电量'!E28-'计划购电量'!B28</x:f>
        <x:v>0</x:v>
      </x:c>
      <x:c r="D28" s="27" t="n">
        <x:f>'计划购电量'!F28-'计划购电量'!B28</x:f>
        <x:v>0</x:v>
      </x:c>
      <x:c r="E28" s="27" t="n">
        <x:f>'计划购电量'!G28-'计划购电量'!B28</x:f>
        <x:v>0</x:v>
      </x:c>
      <x:c r="F28" s="27" t="n">
        <x:f>'计划购电量'!H28-'计划购电量'!B28</x:f>
        <x:v>0</x:v>
      </x:c>
      <x:c r="G28" s="27" t="n">
        <x:f>'计划购电量'!I28-'计划购电量'!B28</x:f>
        <x:v>-3.637978807091713e-12</x:v>
      </x:c>
      <x:c r="H28" s="27" t="n">
        <x:f>'计划购电量'!J28-'计划购电量'!B28</x:f>
        <x:v>-6.821210263296962e-13</x:v>
      </x:c>
      <x:c r="I28" s="27" t="n">
        <x:f>'计划购电量'!K28-'计划购电量'!B28</x:f>
        <x:v>-4.547473508864641e-13</x:v>
      </x:c>
      <x:c r="J28" s="27" t="n">
        <x:f>'计划购电量'!L28-'计划购电量'!B28</x:f>
        <x:v>0</x:v>
      </x:c>
      <x:c r="K28" s="27" t="n">
        <x:f>'计划购电量'!M28-'计划购电量'!B28</x:f>
        <x:v>-7.958078640513122e-13</x:v>
      </x:c>
      <x:c r="L28" s="27" t="n">
        <x:f>'计划购电量'!N28-'计划购电量'!B28</x:f>
        <x:v>-2.2737367544323206e-13</x:v>
      </x:c>
      <x:c r="M28" s="27" t="n">
        <x:f>'计划购电量'!O28-'计划购电量'!B28</x:f>
        <x:v>-1.1368683772161603e-13</x:v>
      </x:c>
      <x:c r="N28" s="27" t="n">
        <x:f>'计划购电量'!P28-'计划购电量'!B28</x:f>
        <x:v>-4.433786671143025e-12</x:v>
      </x:c>
      <x:c r="O28" s="27" t="n">
        <x:f>'计划购电量'!Q28-'计划购电量'!B28</x:f>
        <x:v>-1.1368683772161603e-11</x:v>
      </x:c>
      <x:c r="P28" s="27" t="n">
        <x:f>'计划购电量'!R28-'计划购电量'!B28</x:f>
        <x:v>-5.684341886080801e-13</x:v>
      </x:c>
    </x:row>
    <x:row r="29" ht="25" customHeight="1">
      <x:c r="A29" s="27" t="str">
        <x:f>'计划购电量'!A29</x:f>
        <x:v>4:30-4:40</x:v>
      </x:c>
      <x:c r="B29" s="27" t="n">
        <x:f>'计划购电量'!D29-'计划购电量'!B29</x:f>
        <x:v>1.4779288903810084e-12</x:v>
      </x:c>
      <x:c r="C29" s="27" t="n">
        <x:f>'计划购电量'!E29-'计划购电量'!B29</x:f>
        <x:v>0</x:v>
      </x:c>
      <x:c r="D29" s="27" t="n">
        <x:f>'计划购电量'!F29-'计划购电量'!B29</x:f>
        <x:v>0</x:v>
      </x:c>
      <x:c r="E29" s="27" t="n">
        <x:f>'计划购电量'!G29-'计划购电量'!B29</x:f>
        <x:v>0</x:v>
      </x:c>
      <x:c r="F29" s="27" t="n">
        <x:f>'计划购电量'!H29-'计划购电量'!B29</x:f>
        <x:v>-6.821210263296962e-13</x:v>
      </x:c>
      <x:c r="G29" s="27" t="n">
        <x:f>'计划购电量'!I29-'计划购电量'!B29</x:f>
        <x:v>-3.637978807091713e-12</x:v>
      </x:c>
      <x:c r="H29" s="27" t="n">
        <x:f>'计划购电量'!J29-'计划购电量'!B29</x:f>
        <x:v>-6.821210263296962e-13</x:v>
      </x:c>
      <x:c r="I29" s="27" t="n">
        <x:f>'计划购电量'!K29-'计划购电量'!B29</x:f>
        <x:v>-4.547473508864641e-13</x:v>
      </x:c>
      <x:c r="J29" s="27" t="n">
        <x:f>'计划购电量'!L29-'计划购电量'!B29</x:f>
        <x:v>0</x:v>
      </x:c>
      <x:c r="K29" s="27" t="n">
        <x:f>'计划购电量'!M29-'计划购电量'!B29</x:f>
        <x:v>-7.958078640513122e-13</x:v>
      </x:c>
      <x:c r="L29" s="27" t="n">
        <x:f>'计划购电量'!N29-'计划购电量'!B29</x:f>
        <x:v>-3.410605131648481e-13</x:v>
      </x:c>
      <x:c r="M29" s="27" t="n">
        <x:f>'计划购电量'!O29-'计划购电量'!B29</x:f>
        <x:v>-6.821210263296962e-13</x:v>
      </x:c>
      <x:c r="N29" s="27" t="n">
        <x:f>'计划购电量'!P29-'计划购电量'!B29</x:f>
        <x:v>-4.433786671143025e-12</x:v>
      </x:c>
      <x:c r="O29" s="27" t="n">
        <x:f>'计划购电量'!Q29-'计划购电量'!B29</x:f>
        <x:v>1.2732925824820995e-11</x:v>
      </x:c>
      <x:c r="P29" s="27" t="n">
        <x:f>'计划购电量'!R29-'计划购电量'!B29</x:f>
        <x:v>-5.684341886080801e-13</x:v>
      </x:c>
    </x:row>
    <x:row r="30" ht="25" customHeight="1">
      <x:c r="A30" s="27" t="str">
        <x:f>'计划购电量'!A30</x:f>
        <x:v>4:40-4:50</x:v>
      </x:c>
      <x:c r="B30" s="27" t="n">
        <x:f>'计划购电量'!D30-'计划购电量'!B30</x:f>
        <x:v>-1.6370904631912708e-11</x:v>
      </x:c>
      <x:c r="C30" s="27" t="n">
        <x:f>'计划购电量'!E30-'计划购电量'!B30</x:f>
        <x:v>-2.2737367544323206e-13</x:v>
      </x:c>
      <x:c r="D30" s="27" t="n">
        <x:f>'计划购电量'!F30-'计划购电量'!B30</x:f>
        <x:v>0</x:v>
      </x:c>
      <x:c r="E30" s="27" t="n">
        <x:f>'计划购电量'!G30-'计划购电量'!B30</x:f>
        <x:v>0</x:v>
      </x:c>
      <x:c r="F30" s="27" t="n">
        <x:f>'计划购电量'!H30-'计划购电量'!B30</x:f>
        <x:v>2.1600499167107046e-12</x:v>
      </x:c>
      <x:c r="G30" s="27" t="n">
        <x:f>'计划购电量'!I30-'计划购电量'!B30</x:f>
        <x:v>-2.9558577807620168e-12</x:v>
      </x:c>
      <x:c r="H30" s="27" t="n">
        <x:f>'计划购电量'!J30-'计划购电量'!B30</x:f>
        <x:v>-1.1368683772161603e-13</x:v>
      </x:c>
      <x:c r="I30" s="27" t="n">
        <x:f>'计划购电量'!K30-'计划购电量'!B30</x:f>
        <x:v>0</x:v>
      </x:c>
      <x:c r="J30" s="27" t="n">
        <x:f>'计划购电量'!L30-'计划购电量'!B30</x:f>
        <x:v>4.547473508864641e-13</x:v>
      </x:c>
      <x:c r="K30" s="27" t="n">
        <x:f>'计划购电量'!M30-'计划购电量'!B30</x:f>
        <x:v>-2.2737367544323206e-13</x:v>
      </x:c>
      <x:c r="L30" s="27" t="n">
        <x:f>'计划购电量'!N30-'计划购电量'!B30</x:f>
        <x:v>2.2737367544323206e-13</x:v>
      </x:c>
      <x:c r="M30" s="27" t="n">
        <x:f>'计划购电量'!O30-'计划购电量'!B30</x:f>
        <x:v>0</x:v>
      </x:c>
      <x:c r="N30" s="27" t="n">
        <x:f>'计划购电量'!P30-'计划购电量'!B30</x:f>
        <x:v>-3.865352482534945e-12</x:v>
      </x:c>
      <x:c r="O30" s="27" t="n">
        <x:f>'计划购电量'!Q30-'计划购电量'!B30</x:f>
        <x:v>1.3301360013429075e-11</x:v>
      </x:c>
      <x:c r="P30" s="27" t="n">
        <x:f>'计划购电量'!R30-'计划购电量'!B30</x:f>
        <x:v>0</x:v>
      </x:c>
    </x:row>
    <x:row r="31" ht="25" customHeight="1">
      <x:c r="A31" s="27" t="str">
        <x:f>'计划购电量'!A31</x:f>
        <x:v>4:50-5:00</x:v>
      </x:c>
      <x:c r="B31" s="27" t="n">
        <x:f>'计划购电量'!D31-'计划购电量'!B31</x:f>
        <x:v>2.1032064978498966e-11</x:v>
      </x:c>
      <x:c r="C31" s="27" t="n">
        <x:f>'计划购电量'!E31-'计划购电量'!B31</x:f>
        <x:v>0</x:v>
      </x:c>
      <x:c r="D31" s="27" t="n">
        <x:f>'计划购电量'!F31-'计划购电量'!B31</x:f>
        <x:v>0</x:v>
      </x:c>
      <x:c r="E31" s="27" t="n">
        <x:f>'计划购电量'!G31-'计划购电量'!B31</x:f>
        <x:v>2.2737367544323206e-13</x:v>
      </x:c>
      <x:c r="F31" s="27" t="n">
        <x:f>'计划购电量'!H31-'计划购电量'!B31</x:f>
        <x:v>0</x:v>
      </x:c>
      <x:c r="G31" s="27" t="n">
        <x:f>'计划购电量'!I31-'计划购电量'!B31</x:f>
        <x:v>2.2737367544323206e-13</x:v>
      </x:c>
      <x:c r="H31" s="27" t="n">
        <x:f>'计划购电量'!J31-'计划购电量'!B31</x:f>
        <x:v>2.2737367544323206e-13</x:v>
      </x:c>
      <x:c r="I31" s="27" t="n">
        <x:f>'计划购电量'!K31-'计划购电量'!B31</x:f>
        <x:v>3.410605131648481e-13</x:v>
      </x:c>
      <x:c r="J31" s="27" t="n">
        <x:f>'计划购电量'!L31-'计划购电量'!B31</x:f>
        <x:v>7.958078640513122e-13</x:v>
      </x:c>
      <x:c r="K31" s="27" t="n">
        <x:f>'计划购电量'!M31-'计划购电量'!B31</x:f>
        <x:v>0</x:v>
      </x:c>
      <x:c r="L31" s="27" t="n">
        <x:f>'计划购电量'!N31-'计划购电量'!B31</x:f>
        <x:v>4.547473508864641e-13</x:v>
      </x:c>
      <x:c r="M31" s="27" t="n">
        <x:f>'计划购电量'!O31-'计划购电量'!B31</x:f>
        <x:v>0</x:v>
      </x:c>
      <x:c r="N31" s="27" t="n">
        <x:f>'计划购电量'!P31-'计划购电量'!B31</x:f>
        <x:v>-3.637978807091713e-12</x:v>
      </x:c>
      <x:c r="O31" s="27" t="n">
        <x:f>'计划购电量'!Q31-'计划购电量'!B31</x:f>
        <x:v>1.3642420526593924e-11</x:v>
      </x:c>
      <x:c r="P31" s="27" t="n">
        <x:f>'计划购电量'!R31-'计划购电量'!B31</x:f>
        <x:v>2.2737367544323206e-13</x:v>
      </x:c>
    </x:row>
    <x:row r="32" ht="25" customHeight="1">
      <x:c r="A32" s="27" t="str">
        <x:f>'计划购电量'!A32</x:f>
        <x:v>5:00-5:10</x:v>
      </x:c>
      <x:c r="B32" s="27" t="n">
        <x:f>'计划购电量'!D32-'计划购电量'!B32</x:f>
        <x:v>-4.547473508864641e-12</x:v>
      </x:c>
      <x:c r="C32" s="27" t="n">
        <x:f>'计划购电量'!E32-'计划购电量'!B32</x:f>
        <x:v>0</x:v>
      </x:c>
      <x:c r="D32" s="27" t="n">
        <x:f>'计划购电量'!F32-'计划购电量'!B32</x:f>
        <x:v>2.2737367544323206e-13</x:v>
      </x:c>
      <x:c r="E32" s="27" t="n">
        <x:f>'计划购电量'!G32-'计划购电量'!B32</x:f>
        <x:v>0</x:v>
      </x:c>
      <x:c r="F32" s="27" t="n">
        <x:f>'计划购电量'!H32-'计划购电量'!B32</x:f>
        <x:v>-33.07128527684506</x:v>
      </x:c>
      <x:c r="G32" s="27" t="n">
        <x:f>'计划购电量'!I32-'计划购电量'!B32</x:f>
        <x:v>0</x:v>
      </x:c>
      <x:c r="H32" s="27" t="n">
        <x:f>'计划购电量'!J32-'计划购电量'!B32</x:f>
        <x:v>1.1368683772161603e-13</x:v>
      </x:c>
      <x:c r="I32" s="27" t="n">
        <x:f>'计划购电量'!K32-'计划购电量'!B32</x:f>
        <x:v>2.2737367544323206e-13</x:v>
      </x:c>
      <x:c r="J32" s="27" t="n">
        <x:f>'计划购电量'!L32-'计划购电量'!B32</x:f>
        <x:v>6.821210263296962e-13</x:v>
      </x:c>
      <x:c r="K32" s="27" t="n">
        <x:f>'计划购电量'!M32-'计划购电量'!B32</x:f>
        <x:v>-1.1368683772161603e-13</x:v>
      </x:c>
      <x:c r="L32" s="27" t="n">
        <x:f>'计划购电量'!N32-'计划购电量'!B32</x:f>
        <x:v>3.410605131648481e-13</x:v>
      </x:c>
      <x:c r="M32" s="27" t="n">
        <x:f>'计划购电量'!O32-'计划购电量'!B32</x:f>
        <x:v>0</x:v>
      </x:c>
      <x:c r="N32" s="27" t="n">
        <x:f>'计划购电量'!P32-'计划购电量'!B32</x:f>
        <x:v>4.547473508864641e-13</x:v>
      </x:c>
      <x:c r="O32" s="27" t="n">
        <x:f>'计划购电量'!Q32-'计划购电量'!B32</x:f>
        <x:v>1.3415046851150692e-11</x:v>
      </x:c>
      <x:c r="P32" s="27" t="n">
        <x:f>'计划购电量'!R32-'计划购电量'!B32</x:f>
        <x:v>1.1368683772161603e-13</x:v>
      </x:c>
    </x:row>
    <x:row r="33" ht="25" customHeight="1">
      <x:c r="A33" s="27" t="str">
        <x:f>'计划购电量'!A33</x:f>
        <x:v>5:10-5:20</x:v>
      </x:c>
      <x:c r="B33" s="27" t="n">
        <x:f>'计划购电量'!D33-'计划购电量'!B33</x:f>
        <x:v>-1.5871211770754599</x:v>
      </x:c>
      <x:c r="C33" s="27" t="n">
        <x:f>'计划购电量'!E33-'计划购电量'!B33</x:f>
        <x:v>-1.1368683772161603e-13</x:v>
      </x:c>
      <x:c r="D33" s="27" t="n">
        <x:f>'计划购电量'!F33-'计划购电量'!B33</x:f>
        <x:v>0</x:v>
      </x:c>
      <x:c r="E33" s="27" t="n">
        <x:f>'计划购电量'!G33-'计划购电量'!B33</x:f>
        <x:v>0</x:v>
      </x:c>
      <x:c r="F33" s="27" t="n">
        <x:f>'计划购电量'!H33-'计划购电量'!B33</x:f>
        <x:v>-116.40461861016843</x:v>
      </x:c>
      <x:c r="G33" s="27" t="n">
        <x:f>'计划购电量'!I33-'计划购电量'!B33</x:f>
        <x:v>-2.2737367544323206e-13</x:v>
      </x:c>
      <x:c r="H33" s="27" t="n">
        <x:f>'计划购电量'!J33-'计划购电量'!B33</x:f>
        <x:v>-1.1368683772161603e-13</x:v>
      </x:c>
      <x:c r="I33" s="27" t="n">
        <x:f>'计划购电量'!K33-'计划购电量'!B33</x:f>
        <x:v>-5.684341886080801e-13</x:v>
      </x:c>
      <x:c r="J33" s="27" t="n">
        <x:f>'计划购电量'!L33-'计划购电量'!B33</x:f>
        <x:v>4.547473508864641e-13</x:v>
      </x:c>
      <x:c r="K33" s="27" t="n">
        <x:f>'计划购电量'!M33-'计划购电量'!B33</x:f>
        <x:v>-2.2737367544323206e-13</x:v>
      </x:c>
      <x:c r="L33" s="27" t="n">
        <x:f>'计划购电量'!N33-'计划购电量'!B33</x:f>
        <x:v>-7.73070496506989e-12</x:v>
      </x:c>
      <x:c r="M33" s="27" t="n">
        <x:f>'计划购电量'!O33-'计划购电量'!B33</x:f>
        <x:v>-1.9326762412674725e-12</x:v>
      </x:c>
      <x:c r="N33" s="27" t="n">
        <x:f>'计划购电量'!P33-'计划购电量'!B33</x:f>
        <x:v>2.2737367544323206e-13</x:v>
      </x:c>
      <x:c r="O33" s="27" t="n">
        <x:f>'计划购电量'!Q33-'计划购电量'!B33</x:f>
        <x:v>-1.1368683772161603e-13</x:v>
      </x:c>
      <x:c r="P33" s="27" t="n">
        <x:f>'计划购电量'!R33-'计划购电量'!B33</x:f>
        <x:v>-1.1368683772161603e-13</x:v>
      </x:c>
    </x:row>
    <x:row r="34" ht="25" customHeight="1">
      <x:c r="A34" s="27" t="str">
        <x:f>'计划购电量'!A34</x:f>
        <x:v>5:20-5:30</x:v>
      </x:c>
      <x:c r="B34" s="27" t="n">
        <x:f>'计划购电量'!D34-'计划购电量'!B34</x:f>
        <x:v>-3.2915804959161505</x:v>
      </x:c>
      <x:c r="C34" s="27" t="n">
        <x:f>'计划购电量'!E34-'计划购电量'!B34</x:f>
        <x:v>-1.2433337910520663</x:v>
      </x:c>
      <x:c r="D34" s="27" t="n">
        <x:f>'计划购电量'!F34-'计划购电量'!B34</x:f>
        <x:v>15.74321747707694</x:v>
      </x:c>
      <x:c r="E34" s="27" t="n">
        <x:f>'计划购电量'!G34-'计划购电量'!B34</x:f>
        <x:v>164.96220734782588</x:v>
      </x:c>
      <x:c r="F34" s="27" t="n">
        <x:f>'计划购电量'!H34-'计划购电量'!B34</x:f>
        <x:v>-34.77574459567683</x:v>
      </x:c>
      <x:c r="G34" s="27" t="n">
        <x:f>'计划购电量'!I34-'计划购电量'!B34</x:f>
        <x:v>164.96220734782577</x:v>
      </x:c>
      <x:c r="H34" s="27" t="n">
        <x:f>'计划购电量'!J34-'计划购电量'!B34</x:f>
        <x:v>9.523428390343952</x:v>
      </x:c>
      <x:c r="I34" s="27" t="n">
        <x:f>'计划购电量'!K34-'计划购电量'!B34</x:f>
        <x:v>9.531344351166751</x:v>
      </x:c>
      <x:c r="J34" s="27" t="n">
        <x:f>'计划购电量'!L34-'计划购电量'!B34</x:f>
        <x:v>9.523428400296837</x:v>
      </x:c>
      <x:c r="K34" s="27" t="n">
        <x:f>'计划购电量'!M34-'计划购电量'!B34</x:f>
        <x:v>9.527489424293663</x:v>
      </x:c>
      <x:c r="L34" s="27" t="n">
        <x:f>'计划购电量'!N34-'计划购电量'!B34</x:f>
        <x:v>0.617770305097622</x:v>
      </x:c>
      <x:c r="M34" s="27" t="n">
        <x:f>'计划购电量'!O34-'计划购电量'!B34</x:f>
        <x:v>-0.0411022919588504</x:v>
      </x:c>
      <x:c r="N34" s="27" t="n">
        <x:f>'计划购电量'!P34-'计划购电量'!B34</x:f>
        <x:v>8.726607447688991</x:v>
      </x:c>
      <x:c r="O34" s="27" t="n">
        <x:f>'计划购电量'!Q34-'计划购电量'!B34</x:f>
        <x:v>22.46745420904631</x:v>
      </x:c>
      <x:c r="P34" s="27" t="n">
        <x:f>'计划购电量'!R34-'计划购电量'!B34</x:f>
        <x:v>42.623101829477434</x:v>
      </x:c>
    </x:row>
    <x:row r="35" ht="25" customHeight="1">
      <x:c r="A35" s="27" t="str">
        <x:f>'计划购电量'!A35</x:f>
        <x:v>5:30-5:40</x:v>
      </x:c>
      <x:c r="B35" s="27" t="n">
        <x:f>'计划购电量'!D35-'计划购电量'!B35</x:f>
        <x:v>-3.291580495916719</x:v>
      </x:c>
      <x:c r="C35" s="27" t="n">
        <x:f>'计划购电量'!E35-'计划购电量'!B35</x:f>
        <x:v>-1.2433337910524926</x:v>
      </x:c>
      <x:c r="D35" s="27" t="n">
        <x:f>'计划购电量'!F35-'计划购电量'!B35</x:f>
        <x:v>15.743217477076485</x:v>
      </x:c>
      <x:c r="E35" s="27" t="n">
        <x:f>'计划购电量'!G35-'计划购电量'!B35</x:f>
        <x:v>164.96220734782543</x:v>
      </x:c>
      <x:c r="F35" s="27" t="n">
        <x:f>'计划购电量'!H35-'计划购电量'!B35</x:f>
        <x:v>48.55758873765609</x:v>
      </x:c>
      <x:c r="G35" s="27" t="n">
        <x:f>'计划购电量'!I35-'计划购电量'!B35</x:f>
        <x:v>330.04275845181695</x:v>
      </x:c>
      <x:c r="H35" s="27" t="n">
        <x:f>'计划购电量'!J35-'计划购电量'!B35</x:f>
        <x:v>9.523428390343469</x:v>
      </x:c>
      <x:c r="I35" s="27" t="n">
        <x:f>'计划购电量'!K35-'计划购电量'!B35</x:f>
        <x:v>9.531344351166297</x:v>
      </x:c>
      <x:c r="J35" s="27" t="n">
        <x:f>'计划购电量'!L35-'计划购电量'!B35</x:f>
        <x:v>9.523428400296439</x:v>
      </x:c>
      <x:c r="K35" s="27" t="n">
        <x:f>'计划购电量'!M35-'计划购电量'!B35</x:f>
        <x:v>9.527489424293265</x:v>
      </x:c>
      <x:c r="L35" s="27" t="n">
        <x:f>'计划购电量'!N35-'计划购电量'!B35</x:f>
        <x:v>0.6177703050971672</x:v>
      </x:c>
      <x:c r="M35" s="27" t="n">
        <x:f>'计划购电量'!O35-'计划购电量'!B35</x:f>
        <x:v>-0.04110229196038517</x:v>
      </x:c>
      <x:c r="N35" s="27" t="n">
        <x:f>'计划购电量'!P35-'计划购电量'!B35</x:f>
        <x:v>8.726607447688536</x:v>
      </x:c>
      <x:c r="O35" s="27" t="n">
        <x:f>'计划购电量'!Q35-'计划购电量'!B35</x:f>
        <x:v>22.46745420904591</x:v>
      </x:c>
      <x:c r="P35" s="27" t="n">
        <x:f>'计划购电量'!R35-'计划购电量'!B35</x:f>
        <x:v>42.62310182947698</x:v>
      </x:c>
    </x:row>
    <x:row r="36" ht="25" customHeight="1">
      <x:c r="A36" s="27" t="str">
        <x:f>'计划购电量'!A36</x:f>
        <x:v>5:40-5:50</x:v>
      </x:c>
      <x:c r="B36" s="27" t="n">
        <x:f>'计划购电量'!D36-'计划购电量'!B36</x:f>
        <x:v>-3.291580495916719</x:v>
      </x:c>
      <x:c r="C36" s="27" t="n">
        <x:f>'计划购电量'!E36-'计划购电量'!B36</x:f>
        <x:v>-1.243333791052521</x:v>
      </x:c>
      <x:c r="D36" s="27" t="n">
        <x:f>'计划购电量'!F36-'计划购电量'!B36</x:f>
        <x:v>15.74321747707647</x:v>
      </x:c>
      <x:c r="E36" s="27" t="n">
        <x:f>'计划购电量'!G36-'计划购电量'!B36</x:f>
        <x:v>164.96220734782543</x:v>
      </x:c>
      <x:c r="F36" s="27" t="n">
        <x:f>'计划购电量'!H36-'计划购电量'!B36</x:f>
        <x:v>131.8909220709894</x:v>
      </x:c>
      <x:c r="G36" s="27" t="n">
        <x:f>'计划购电量'!I36-'计划购电量'!B36</x:f>
        <x:v>163.37609178515027</x:v>
      </x:c>
      <x:c r="H36" s="27" t="n">
        <x:f>'计划购电量'!J36-'计划购电量'!B36</x:f>
        <x:v>9.523428390343483</x:v>
      </x:c>
      <x:c r="I36" s="27" t="n">
        <x:f>'计划购电量'!K36-'计划购电量'!B36</x:f>
        <x:v>9.531344351166254</x:v>
      </x:c>
      <x:c r="J36" s="27" t="n">
        <x:f>'计划购电量'!L36-'计划购电量'!B36</x:f>
        <x:v>9.523428400296439</x:v>
      </x:c>
      <x:c r="K36" s="27" t="n">
        <x:f>'计划购电量'!M36-'计划购电量'!B36</x:f>
        <x:v>9.527489424293222</x:v>
      </x:c>
      <x:c r="L36" s="27" t="n">
        <x:f>'计划购电量'!N36-'计划购电量'!B36</x:f>
        <x:v>0.617770305097153</x:v>
      </x:c>
      <x:c r="M36" s="27" t="n">
        <x:f>'计划购电量'!O36-'计划购电量'!B36</x:f>
        <x:v>-0.04110229196150783</x:v>
      </x:c>
      <x:c r="N36" s="27" t="n">
        <x:f>'计划购电量'!P36-'计划购电量'!B36</x:f>
        <x:v>8.726607447688494</x:v>
      </x:c>
      <x:c r="O36" s="27" t="n">
        <x:f>'计划购电量'!Q36-'计划购电量'!B36</x:f>
        <x:v>22.467454209045897</x:v>
      </x:c>
      <x:c r="P36" s="27" t="n">
        <x:f>'计划购电量'!R36-'计划购电量'!B36</x:f>
        <x:v>42.623101829476965</x:v>
      </x:c>
    </x:row>
    <x:row r="37" ht="25" customHeight="1">
      <x:c r="A37" s="27" t="str">
        <x:f>'计划购电量'!A37</x:f>
        <x:v>5:50-6:00</x:v>
      </x:c>
      <x:c r="B37" s="27" t="n">
        <x:f>'计划购电量'!D37-'计划购电量'!B37</x:f>
        <x:v>-3.2915804959161576</x:v>
      </x:c>
      <x:c r="C37" s="27" t="n">
        <x:f>'计划购电量'!E37-'计划购电量'!B37</x:f>
        <x:v>-1.2433337910525144</x:v>
      </x:c>
      <x:c r="D37" s="27" t="n">
        <x:f>'计划购电量'!F37-'计划购电量'!B37</x:f>
        <x:v>15.743217477076463</x:v>
      </x:c>
      <x:c r="E37" s="27" t="n">
        <x:f>'计划购电量'!G37-'计划购电量'!B37</x:f>
        <x:v>164.96220734782543</x:v>
      </x:c>
      <x:c r="F37" s="27" t="n">
        <x:f>'计划购电量'!H37-'计划购电量'!B37</x:f>
        <x:v>215.22425540432272</x:v>
      </x:c>
      <x:c r="G37" s="27" t="n">
        <x:f>'计划购电量'!I37-'计划购电量'!B37</x:f>
        <x:v>-3.2905748815164015</x:v>
      </x:c>
      <x:c r="H37" s="27" t="n">
        <x:f>'计划购电量'!J37-'计划购电量'!B37</x:f>
        <x:v>9.523428390343476</x:v>
      </x:c>
      <x:c r="I37" s="27" t="n">
        <x:f>'计划购电量'!K37-'计划购电量'!B37</x:f>
        <x:v>9.531344351166258</x:v>
      </x:c>
      <x:c r="J37" s="27" t="n">
        <x:f>'计划购电量'!L37-'计划购电量'!B37</x:f>
        <x:v>9.523428400296428</x:v>
      </x:c>
      <x:c r="K37" s="27" t="n">
        <x:f>'计划购电量'!M37-'计划购电量'!B37</x:f>
        <x:v>9.527489424293229</x:v>
      </x:c>
      <x:c r="L37" s="27" t="n">
        <x:f>'计划购电量'!N37-'计划购电量'!B37</x:f>
        <x:v>0.6177703050971477</x:v>
      </x:c>
      <x:c r="M37" s="27" t="n">
        <x:f>'计划购电量'!O37-'计划购电量'!B37</x:f>
        <x:v>-0.04110229196127646</x:v>
      </x:c>
      <x:c r="N37" s="27" t="n">
        <x:f>'计划购电量'!P37-'计划购电量'!B37</x:f>
        <x:v>8.726607447688497</x:v>
      </x:c>
      <x:c r="O37" s="27" t="n">
        <x:f>'计划购电量'!Q37-'计划购电量'!B37</x:f>
        <x:v>22.467454209045886</x:v>
      </x:c>
      <x:c r="P37" s="27" t="n">
        <x:f>'计划购电量'!R37-'计划购电量'!B37</x:f>
        <x:v>42.62310182947696</x:v>
      </x:c>
    </x:row>
    <x:row r="38" ht="25" customHeight="1">
      <x:c r="A38" s="27" t="str">
        <x:f>'计划购电量'!A38</x:f>
        <x:v>6:00-6:10</x:v>
      </x:c>
      <x:c r="B38" s="27" t="n">
        <x:f>'计划购电量'!D38-'计划购电量'!B38</x:f>
        <x:v>0</x:v>
      </x:c>
      <x:c r="C38" s="27" t="n">
        <x:f>'计划购电量'!E38-'计划购电量'!B38</x:f>
        <x:v>0</x:v>
      </x:c>
      <x:c r="D38" s="27" t="n">
        <x:f>'计划购电量'!F38-'计划购电量'!B38</x:f>
        <x:v>5.737471778706575</x:v>
      </x:c>
      <x:c r="E38" s="27" t="n">
        <x:f>'计划购电量'!G38-'计划购电量'!B38</x:f>
        <x:v>54.48010616453124</x:v>
      </x:c>
      <x:c r="F38" s="27" t="n">
        <x:f>'计划购电量'!H38-'计划购电量'!B38</x:f>
        <x:v>122.38404805648572</x:v>
      </x:c>
      <x:c r="G38" s="27" t="n">
        <x:f>'计划购电量'!I38-'计划购电量'!B38</x:f>
        <x:v>0</x:v>
      </x:c>
      <x:c r="H38" s="27" t="n">
        <x:f>'计划购电量'!J38-'计划购电量'!B38</x:f>
        <x:v>0</x:v>
      </x:c>
      <x:c r="I38" s="27" t="n">
        <x:f>'计划购电量'!K38-'计划购电量'!B38</x:f>
        <x:v>0</x:v>
      </x:c>
      <x:c r="J38" s="27" t="n">
        <x:f>'计划购电量'!L38-'计划购电量'!B38</x:f>
        <x:v>0</x:v>
      </x:c>
      <x:c r="K38" s="27" t="n">
        <x:f>'计划购电量'!M38-'计划购电量'!B38</x:f>
        <x:v>0</x:v>
      </x:c>
      <x:c r="L38" s="27" t="n">
        <x:f>'计划购电量'!N38-'计划购电量'!B38</x:f>
        <x:v>0</x:v>
      </x:c>
      <x:c r="M38" s="27" t="n">
        <x:f>'计划购电量'!O38-'计划购电量'!B38</x:f>
        <x:v>0</x:v>
      </x:c>
      <x:c r="N38" s="27" t="n">
        <x:f>'计划购电量'!P38-'计划购电量'!B38</x:f>
        <x:v>0</x:v>
      </x:c>
      <x:c r="O38" s="27" t="n">
        <x:f>'计划购电量'!Q38-'计划购电量'!B38</x:f>
        <x:v>0</x:v>
      </x:c>
      <x:c r="P38" s="27" t="n">
        <x:f>'计划购电量'!R38-'计划购电量'!B38</x:f>
        <x:v>0</x:v>
      </x:c>
    </x:row>
    <x:row r="39" ht="25" customHeight="1">
      <x:c r="A39" s="27" t="str">
        <x:f>'计划购电量'!A39</x:f>
        <x:v>6:10-6:20</x:v>
      </x:c>
      <x:c r="B39" s="27" t="n">
        <x:f>'计划购电量'!D39-'计划购电量'!B39</x:f>
        <x:v>0</x:v>
      </x:c>
      <x:c r="C39" s="27" t="n">
        <x:f>'计划购电量'!E39-'计划购电量'!B39</x:f>
        <x:v>0</x:v>
      </x:c>
      <x:c r="D39" s="27" t="n">
        <x:f>'计划购电量'!F39-'计划购电量'!B39</x:f>
        <x:v>0</x:v>
      </x:c>
      <x:c r="E39" s="27" t="n">
        <x:f>'计划购电量'!G39-'计划购电量'!B39</x:f>
        <x:v>15.528806164531225</x:v>
      </x:c>
      <x:c r="F39" s="27" t="n">
        <x:f>'计划购电量'!H39-'计划购电量'!B39</x:f>
        <x:v>0.09941472315237376</x:v>
      </x:c>
      <x:c r="G39" s="27" t="n">
        <x:f>'计划购电量'!I39-'计划购电量'!B39</x:f>
        <x:v>0</x:v>
      </x:c>
      <x:c r="H39" s="27" t="n">
        <x:f>'计划购电量'!J39-'计划购电量'!B39</x:f>
        <x:v>0</x:v>
      </x:c>
      <x:c r="I39" s="27" t="n">
        <x:f>'计划购电量'!K39-'计划购电量'!B39</x:f>
        <x:v>0</x:v>
      </x:c>
      <x:c r="J39" s="27" t="n">
        <x:f>'计划购电量'!L39-'计划购电量'!B39</x:f>
        <x:v>0</x:v>
      </x:c>
      <x:c r="K39" s="27" t="n">
        <x:f>'计划购电量'!M39-'计划购电量'!B39</x:f>
        <x:v>0</x:v>
      </x:c>
      <x:c r="L39" s="27" t="n">
        <x:f>'计划购电量'!N39-'计划购电量'!B39</x:f>
        <x:v>0</x:v>
      </x:c>
      <x:c r="M39" s="27" t="n">
        <x:f>'计划购电量'!O39-'计划购电量'!B39</x:f>
        <x:v>0</x:v>
      </x:c>
      <x:c r="N39" s="27" t="n">
        <x:f>'计划购电量'!P39-'计划购电量'!B39</x:f>
        <x:v>0</x:v>
      </x:c>
      <x:c r="O39" s="27" t="n">
        <x:f>'计划购电量'!Q39-'计划购电量'!B39</x:f>
        <x:v>0</x:v>
      </x:c>
      <x:c r="P39" s="27" t="n">
        <x:f>'计划购电量'!R39-'计划购电量'!B39</x:f>
        <x:v>0</x:v>
      </x:c>
    </x:row>
    <x:row r="40" ht="25" customHeight="1">
      <x:c r="A40" s="27" t="str">
        <x:f>'计划购电量'!A40</x:f>
        <x:v>6:20-6:30</x:v>
      </x:c>
      <x:c r="B40" s="27" t="n">
        <x:f>'计划购电量'!D40-'计划购电量'!B40</x:f>
        <x:v>0</x:v>
      </x:c>
      <x:c r="C40" s="27" t="n">
        <x:f>'计划购电量'!E40-'计划购电量'!B40</x:f>
        <x:v>0</x:v>
      </x:c>
      <x:c r="D40" s="27" t="n">
        <x:f>'计划购电量'!F40-'计划购电量'!B40</x:f>
        <x:v>0</x:v>
      </x:c>
      <x:c r="E40" s="27" t="n">
        <x:f>'计划购电量'!G40-'计划购电量'!B40</x:f>
        <x:v>0</x:v>
      </x:c>
      <x:c r="F40" s="27" t="n">
        <x:f>'计划购电量'!H40-'计划购电量'!B40</x:f>
        <x:v>0</x:v>
      </x:c>
      <x:c r="G40" s="27" t="n">
        <x:f>'计划购电量'!I40-'计划购电量'!B40</x:f>
        <x:v>0</x:v>
      </x:c>
      <x:c r="H40" s="27" t="n">
        <x:f>'计划购电量'!J40-'计划购电量'!B40</x:f>
        <x:v>0</x:v>
      </x:c>
      <x:c r="I40" s="27" t="n">
        <x:f>'计划购电量'!K40-'计划购电量'!B40</x:f>
        <x:v>0</x:v>
      </x:c>
      <x:c r="J40" s="27" t="n">
        <x:f>'计划购电量'!L40-'计划购电量'!B40</x:f>
        <x:v>0</x:v>
      </x:c>
      <x:c r="K40" s="27" t="n">
        <x:f>'计划购电量'!M40-'计划购电量'!B40</x:f>
        <x:v>0</x:v>
      </x:c>
      <x:c r="L40" s="27" t="n">
        <x:f>'计划购电量'!N40-'计划购电量'!B40</x:f>
        <x:v>0</x:v>
      </x:c>
      <x:c r="M40" s="27" t="n">
        <x:f>'计划购电量'!O40-'计划购电量'!B40</x:f>
        <x:v>0</x:v>
      </x:c>
      <x:c r="N40" s="27" t="n">
        <x:f>'计划购电量'!P40-'计划购电量'!B40</x:f>
        <x:v>0</x:v>
      </x:c>
      <x:c r="O40" s="27" t="n">
        <x:f>'计划购电量'!Q40-'计划购电量'!B40</x:f>
        <x:v>0</x:v>
      </x:c>
      <x:c r="P40" s="27" t="n">
        <x:f>'计划购电量'!R40-'计划购电量'!B40</x:f>
        <x:v>0</x:v>
      </x:c>
    </x:row>
    <x:row r="41" ht="25" customHeight="1">
      <x:c r="A41" s="27" t="str">
        <x:f>'计划购电量'!A41</x:f>
        <x:v>6:30-6:40</x:v>
      </x:c>
      <x:c r="B41" s="27" t="n">
        <x:f>'计划购电量'!D41-'计划购电量'!B41</x:f>
        <x:v>0</x:v>
      </x:c>
      <x:c r="C41" s="27" t="n">
        <x:f>'计划购电量'!E41-'计划购电量'!B41</x:f>
        <x:v>0</x:v>
      </x:c>
      <x:c r="D41" s="27" t="n">
        <x:f>'计划购电量'!F41-'计划购电量'!B41</x:f>
        <x:v>0</x:v>
      </x:c>
      <x:c r="E41" s="27" t="n">
        <x:f>'计划购电量'!G41-'计划购电量'!B41</x:f>
        <x:v>0</x:v>
      </x:c>
      <x:c r="F41" s="27" t="n">
        <x:f>'计划购电量'!H41-'计划购电量'!B41</x:f>
        <x:v>0</x:v>
      </x:c>
      <x:c r="G41" s="27" t="n">
        <x:f>'计划购电量'!I41-'计划购电量'!B41</x:f>
        <x:v>0</x:v>
      </x:c>
      <x:c r="H41" s="27" t="n">
        <x:f>'计划购电量'!J41-'计划购电量'!B41</x:f>
        <x:v>0</x:v>
      </x:c>
      <x:c r="I41" s="27" t="n">
        <x:f>'计划购电量'!K41-'计划购电量'!B41</x:f>
        <x:v>0</x:v>
      </x:c>
      <x:c r="J41" s="27" t="n">
        <x:f>'计划购电量'!L41-'计划购电量'!B41</x:f>
        <x:v>0</x:v>
      </x:c>
      <x:c r="K41" s="27" t="n">
        <x:f>'计划购电量'!M41-'计划购电量'!B41</x:f>
        <x:v>0</x:v>
      </x:c>
      <x:c r="L41" s="27" t="n">
        <x:f>'计划购电量'!N41-'计划购电量'!B41</x:f>
        <x:v>0</x:v>
      </x:c>
      <x:c r="M41" s="27" t="n">
        <x:f>'计划购电量'!O41-'计划购电量'!B41</x:f>
        <x:v>0</x:v>
      </x:c>
      <x:c r="N41" s="27" t="n">
        <x:f>'计划购电量'!P41-'计划购电量'!B41</x:f>
        <x:v>0</x:v>
      </x:c>
      <x:c r="O41" s="27" t="n">
        <x:f>'计划购电量'!Q41-'计划购电量'!B41</x:f>
        <x:v>0</x:v>
      </x:c>
      <x:c r="P41" s="27" t="n">
        <x:f>'计划购电量'!R41-'计划购电量'!B41</x:f>
        <x:v>0</x:v>
      </x:c>
    </x:row>
    <x:row r="42" ht="25" customHeight="1">
      <x:c r="A42" s="27" t="str">
        <x:f>'计划购电量'!A42</x:f>
        <x:v>6:40-6:50</x:v>
      </x:c>
      <x:c r="B42" s="27" t="n">
        <x:f>'计划购电量'!D42-'计划购电量'!B42</x:f>
        <x:v>0</x:v>
      </x:c>
      <x:c r="C42" s="27" t="n">
        <x:f>'计划购电量'!E42-'计划购电量'!B42</x:f>
        <x:v>0</x:v>
      </x:c>
      <x:c r="D42" s="27" t="n">
        <x:f>'计划购电量'!F42-'计划购电量'!B42</x:f>
        <x:v>0</x:v>
      </x:c>
      <x:c r="E42" s="27" t="n">
        <x:f>'计划购电量'!G42-'计划购电量'!B42</x:f>
        <x:v>0</x:v>
      </x:c>
      <x:c r="F42" s="27" t="n">
        <x:f>'计划购电量'!H42-'计划购电量'!B42</x:f>
        <x:v>0</x:v>
      </x:c>
      <x:c r="G42" s="27" t="n">
        <x:f>'计划购电量'!I42-'计划购电量'!B42</x:f>
        <x:v>0</x:v>
      </x:c>
      <x:c r="H42" s="27" t="n">
        <x:f>'计划购电量'!J42-'计划购电量'!B42</x:f>
        <x:v>0</x:v>
      </x:c>
      <x:c r="I42" s="27" t="n">
        <x:f>'计划购电量'!K42-'计划购电量'!B42</x:f>
        <x:v>0</x:v>
      </x:c>
      <x:c r="J42" s="27" t="n">
        <x:f>'计划购电量'!L42-'计划购电量'!B42</x:f>
        <x:v>0</x:v>
      </x:c>
      <x:c r="K42" s="27" t="n">
        <x:f>'计划购电量'!M42-'计划购电量'!B42</x:f>
        <x:v>0</x:v>
      </x:c>
      <x:c r="L42" s="27" t="n">
        <x:f>'计划购电量'!N42-'计划购电量'!B42</x:f>
        <x:v>0</x:v>
      </x:c>
      <x:c r="M42" s="27" t="n">
        <x:f>'计划购电量'!O42-'计划购电量'!B42</x:f>
        <x:v>0</x:v>
      </x:c>
      <x:c r="N42" s="27" t="n">
        <x:f>'计划购电量'!P42-'计划购电量'!B42</x:f>
        <x:v>0</x:v>
      </x:c>
      <x:c r="O42" s="27" t="n">
        <x:f>'计划购电量'!Q42-'计划购电量'!B42</x:f>
        <x:v>0</x:v>
      </x:c>
      <x:c r="P42" s="27" t="n">
        <x:f>'计划购电量'!R42-'计划购电量'!B42</x:f>
        <x:v>0</x:v>
      </x:c>
    </x:row>
    <x:row r="43" ht="25" customHeight="1">
      <x:c r="A43" s="27" t="str">
        <x:f>'计划购电量'!A43</x:f>
        <x:v>6:50-7:00</x:v>
      </x:c>
      <x:c r="B43" s="27" t="n">
        <x:f>'计划购电量'!D43-'计划购电量'!B43</x:f>
        <x:v>0</x:v>
      </x:c>
      <x:c r="C43" s="27" t="n">
        <x:f>'计划购电量'!E43-'计划购电量'!B43</x:f>
        <x:v>0</x:v>
      </x:c>
      <x:c r="D43" s="27" t="n">
        <x:f>'计划购电量'!F43-'计划购电量'!B43</x:f>
        <x:v>0</x:v>
      </x:c>
      <x:c r="E43" s="27" t="n">
        <x:f>'计划购电量'!G43-'计划购电量'!B43</x:f>
        <x:v>0</x:v>
      </x:c>
      <x:c r="F43" s="27" t="n">
        <x:f>'计划购电量'!H43-'计划购电量'!B43</x:f>
        <x:v>0</x:v>
      </x:c>
      <x:c r="G43" s="27" t="n">
        <x:f>'计划购电量'!I43-'计划购电量'!B43</x:f>
        <x:v>0</x:v>
      </x:c>
      <x:c r="H43" s="27" t="n">
        <x:f>'计划购电量'!J43-'计划购电量'!B43</x:f>
        <x:v>0</x:v>
      </x:c>
      <x:c r="I43" s="27" t="n">
        <x:f>'计划购电量'!K43-'计划购电量'!B43</x:f>
        <x:v>0</x:v>
      </x:c>
      <x:c r="J43" s="27" t="n">
        <x:f>'计划购电量'!L43-'计划购电量'!B43</x:f>
        <x:v>0</x:v>
      </x:c>
      <x:c r="K43" s="27" t="n">
        <x:f>'计划购电量'!M43-'计划购电量'!B43</x:f>
        <x:v>0</x:v>
      </x:c>
      <x:c r="L43" s="27" t="n">
        <x:f>'计划购电量'!N43-'计划购电量'!B43</x:f>
        <x:v>0</x:v>
      </x:c>
      <x:c r="M43" s="27" t="n">
        <x:f>'计划购电量'!O43-'计划购电量'!B43</x:f>
        <x:v>0</x:v>
      </x:c>
      <x:c r="N43" s="27" t="n">
        <x:f>'计划购电量'!P43-'计划购电量'!B43</x:f>
        <x:v>0</x:v>
      </x:c>
      <x:c r="O43" s="27" t="n">
        <x:f>'计划购电量'!Q43-'计划购电量'!B43</x:f>
        <x:v>0</x:v>
      </x:c>
      <x:c r="P43" s="27" t="n">
        <x:f>'计划购电量'!R43-'计划购电量'!B43</x:f>
        <x:v>0</x:v>
      </x:c>
    </x:row>
    <x:row r="44" ht="25" customHeight="1">
      <x:c r="A44" s="27" t="str">
        <x:f>'计划购电量'!A44</x:f>
        <x:v>7:00-7:10</x:v>
      </x:c>
      <x:c r="B44" s="27" t="n">
        <x:f>'计划购电量'!D44-'计划购电量'!B44</x:f>
        <x:v>0</x:v>
      </x:c>
      <x:c r="C44" s="27" t="n">
        <x:f>'计划购电量'!E44-'计划购电量'!B44</x:f>
        <x:v>0</x:v>
      </x:c>
      <x:c r="D44" s="27" t="n">
        <x:f>'计划购电量'!F44-'计划购电量'!B44</x:f>
        <x:v>0</x:v>
      </x:c>
      <x:c r="E44" s="27" t="n">
        <x:f>'计划购电量'!G44-'计划购电量'!B44</x:f>
        <x:v>0</x:v>
      </x:c>
      <x:c r="F44" s="27" t="n">
        <x:f>'计划购电量'!H44-'计划购电量'!B44</x:f>
        <x:v>0</x:v>
      </x:c>
      <x:c r="G44" s="27" t="n">
        <x:f>'计划购电量'!I44-'计划购电量'!B44</x:f>
        <x:v>0</x:v>
      </x:c>
      <x:c r="H44" s="27" t="n">
        <x:f>'计划购电量'!J44-'计划购电量'!B44</x:f>
        <x:v>0</x:v>
      </x:c>
      <x:c r="I44" s="27" t="n">
        <x:f>'计划购电量'!K44-'计划购电量'!B44</x:f>
        <x:v>0</x:v>
      </x:c>
      <x:c r="J44" s="27" t="n">
        <x:f>'计划购电量'!L44-'计划购电量'!B44</x:f>
        <x:v>0</x:v>
      </x:c>
      <x:c r="K44" s="27" t="n">
        <x:f>'计划购电量'!M44-'计划购电量'!B44</x:f>
        <x:v>0</x:v>
      </x:c>
      <x:c r="L44" s="27" t="n">
        <x:f>'计划购电量'!N44-'计划购电量'!B44</x:f>
        <x:v>0</x:v>
      </x:c>
      <x:c r="M44" s="27" t="n">
        <x:f>'计划购电量'!O44-'计划购电量'!B44</x:f>
        <x:v>0</x:v>
      </x:c>
      <x:c r="N44" s="27" t="n">
        <x:f>'计划购电量'!P44-'计划购电量'!B44</x:f>
        <x:v>0</x:v>
      </x:c>
      <x:c r="O44" s="27" t="n">
        <x:f>'计划购电量'!Q44-'计划购电量'!B44</x:f>
        <x:v>0</x:v>
      </x:c>
      <x:c r="P44" s="27" t="n">
        <x:f>'计划购电量'!R44-'计划购电量'!B44</x:f>
        <x:v>0</x:v>
      </x:c>
    </x:row>
    <x:row r="45" ht="25" customHeight="1">
      <x:c r="A45" s="27" t="str">
        <x:f>'计划购电量'!A45</x:f>
        <x:v>7:10-7:20</x:v>
      </x:c>
      <x:c r="B45" s="27" t="n">
        <x:f>'计划购电量'!D45-'计划购电量'!B45</x:f>
        <x:v>0</x:v>
      </x:c>
      <x:c r="C45" s="27" t="n">
        <x:f>'计划购电量'!E45-'计划购电量'!B45</x:f>
        <x:v>0</x:v>
      </x:c>
      <x:c r="D45" s="27" t="n">
        <x:f>'计划购电量'!F45-'计划购电量'!B45</x:f>
        <x:v>0</x:v>
      </x:c>
      <x:c r="E45" s="27" t="n">
        <x:f>'计划购电量'!G45-'计划购电量'!B45</x:f>
        <x:v>0</x:v>
      </x:c>
      <x:c r="F45" s="27" t="n">
        <x:f>'计划购电量'!H45-'计划购电量'!B45</x:f>
        <x:v>0</x:v>
      </x:c>
      <x:c r="G45" s="27" t="n">
        <x:f>'计划购电量'!I45-'计划购电量'!B45</x:f>
        <x:v>0</x:v>
      </x:c>
      <x:c r="H45" s="27" t="n">
        <x:f>'计划购电量'!J45-'计划购电量'!B45</x:f>
        <x:v>0</x:v>
      </x:c>
      <x:c r="I45" s="27" t="n">
        <x:f>'计划购电量'!K45-'计划购电量'!B45</x:f>
        <x:v>0</x:v>
      </x:c>
      <x:c r="J45" s="27" t="n">
        <x:f>'计划购电量'!L45-'计划购电量'!B45</x:f>
        <x:v>0</x:v>
      </x:c>
      <x:c r="K45" s="27" t="n">
        <x:f>'计划购电量'!M45-'计划购电量'!B45</x:f>
        <x:v>0</x:v>
      </x:c>
      <x:c r="L45" s="27" t="n">
        <x:f>'计划购电量'!N45-'计划购电量'!B45</x:f>
        <x:v>0</x:v>
      </x:c>
      <x:c r="M45" s="27" t="n">
        <x:f>'计划购电量'!O45-'计划购电量'!B45</x:f>
        <x:v>0</x:v>
      </x:c>
      <x:c r="N45" s="27" t="n">
        <x:f>'计划购电量'!P45-'计划购电量'!B45</x:f>
        <x:v>0</x:v>
      </x:c>
      <x:c r="O45" s="27" t="n">
        <x:f>'计划购电量'!Q45-'计划购电量'!B45</x:f>
        <x:v>0</x:v>
      </x:c>
      <x:c r="P45" s="27" t="n">
        <x:f>'计划购电量'!R45-'计划购电量'!B45</x:f>
        <x:v>0</x:v>
      </x:c>
    </x:row>
    <x:row r="46" ht="25" customHeight="1">
      <x:c r="A46" s="27" t="str">
        <x:f>'计划购电量'!A46</x:f>
        <x:v>7:20-7:30</x:v>
      </x:c>
      <x:c r="B46" s="27" t="n">
        <x:f>'计划购电量'!D46-'计划购电量'!B46</x:f>
        <x:v>0</x:v>
      </x:c>
      <x:c r="C46" s="27" t="n">
        <x:f>'计划购电量'!E46-'计划购电量'!B46</x:f>
        <x:v>0</x:v>
      </x:c>
      <x:c r="D46" s="27" t="n">
        <x:f>'计划购电量'!F46-'计划购电量'!B46</x:f>
        <x:v>0</x:v>
      </x:c>
      <x:c r="E46" s="27" t="n">
        <x:f>'计划购电量'!G46-'计划购电量'!B46</x:f>
        <x:v>0</x:v>
      </x:c>
      <x:c r="F46" s="27" t="n">
        <x:f>'计划购电量'!H46-'计划购电量'!B46</x:f>
        <x:v>0</x:v>
      </x:c>
      <x:c r="G46" s="27" t="n">
        <x:f>'计划购电量'!I46-'计划购电量'!B46</x:f>
        <x:v>0</x:v>
      </x:c>
      <x:c r="H46" s="27" t="n">
        <x:f>'计划购电量'!J46-'计划购电量'!B46</x:f>
        <x:v>0</x:v>
      </x:c>
      <x:c r="I46" s="27" t="n">
        <x:f>'计划购电量'!K46-'计划购电量'!B46</x:f>
        <x:v>0</x:v>
      </x:c>
      <x:c r="J46" s="27" t="n">
        <x:f>'计划购电量'!L46-'计划购电量'!B46</x:f>
        <x:v>0</x:v>
      </x:c>
      <x:c r="K46" s="27" t="n">
        <x:f>'计划购电量'!M46-'计划购电量'!B46</x:f>
        <x:v>0</x:v>
      </x:c>
      <x:c r="L46" s="27" t="n">
        <x:f>'计划购电量'!N46-'计划购电量'!B46</x:f>
        <x:v>0</x:v>
      </x:c>
      <x:c r="M46" s="27" t="n">
        <x:f>'计划购电量'!O46-'计划购电量'!B46</x:f>
        <x:v>0</x:v>
      </x:c>
      <x:c r="N46" s="27" t="n">
        <x:f>'计划购电量'!P46-'计划购电量'!B46</x:f>
        <x:v>0</x:v>
      </x:c>
      <x:c r="O46" s="27" t="n">
        <x:f>'计划购电量'!Q46-'计划购电量'!B46</x:f>
        <x:v>0</x:v>
      </x:c>
      <x:c r="P46" s="27" t="n">
        <x:f>'计划购电量'!R46-'计划购电量'!B46</x:f>
        <x:v>0</x:v>
      </x:c>
    </x:row>
    <x:row r="47" ht="25" customHeight="1">
      <x:c r="A47" s="27" t="str">
        <x:f>'计划购电量'!A47</x:f>
        <x:v>7:30-7:40</x:v>
      </x:c>
      <x:c r="B47" s="27" t="n">
        <x:f>'计划购电量'!D47-'计划购电量'!B47</x:f>
        <x:v>0</x:v>
      </x:c>
      <x:c r="C47" s="27" t="n">
        <x:f>'计划购电量'!E47-'计划购电量'!B47</x:f>
        <x:v>0</x:v>
      </x:c>
      <x:c r="D47" s="27" t="n">
        <x:f>'计划购电量'!F47-'计划购电量'!B47</x:f>
        <x:v>0</x:v>
      </x:c>
      <x:c r="E47" s="27" t="n">
        <x:f>'计划购电量'!G47-'计划购电量'!B47</x:f>
        <x:v>0</x:v>
      </x:c>
      <x:c r="F47" s="27" t="n">
        <x:f>'计划购电量'!H47-'计划购电量'!B47</x:f>
        <x:v>0</x:v>
      </x:c>
      <x:c r="G47" s="27" t="n">
        <x:f>'计划购电量'!I47-'计划购电量'!B47</x:f>
        <x:v>0</x:v>
      </x:c>
      <x:c r="H47" s="27" t="n">
        <x:f>'计划购电量'!J47-'计划购电量'!B47</x:f>
        <x:v>0</x:v>
      </x:c>
      <x:c r="I47" s="27" t="n">
        <x:f>'计划购电量'!K47-'计划购电量'!B47</x:f>
        <x:v>0</x:v>
      </x:c>
      <x:c r="J47" s="27" t="n">
        <x:f>'计划购电量'!L47-'计划购电量'!B47</x:f>
        <x:v>0</x:v>
      </x:c>
      <x:c r="K47" s="27" t="n">
        <x:f>'计划购电量'!M47-'计划购电量'!B47</x:f>
        <x:v>0</x:v>
      </x:c>
      <x:c r="L47" s="27" t="n">
        <x:f>'计划购电量'!N47-'计划购电量'!B47</x:f>
        <x:v>0</x:v>
      </x:c>
      <x:c r="M47" s="27" t="n">
        <x:f>'计划购电量'!O47-'计划购电量'!B47</x:f>
        <x:v>0</x:v>
      </x:c>
      <x:c r="N47" s="27" t="n">
        <x:f>'计划购电量'!P47-'计划购电量'!B47</x:f>
        <x:v>0</x:v>
      </x:c>
      <x:c r="O47" s="27" t="n">
        <x:f>'计划购电量'!Q47-'计划购电量'!B47</x:f>
        <x:v>0</x:v>
      </x:c>
      <x:c r="P47" s="27" t="n">
        <x:f>'计划购电量'!R47-'计划购电量'!B47</x:f>
        <x:v>0</x:v>
      </x:c>
    </x:row>
    <x:row r="48" ht="25" customHeight="1">
      <x:c r="A48" s="27" t="str">
        <x:f>'计划购电量'!A48</x:f>
        <x:v>7:40-7:50</x:v>
      </x:c>
      <x:c r="B48" s="27" t="n">
        <x:f>'计划购电量'!D48-'计划购电量'!B48</x:f>
        <x:v>0</x:v>
      </x:c>
      <x:c r="C48" s="27" t="n">
        <x:f>'计划购电量'!E48-'计划购电量'!B48</x:f>
        <x:v>0</x:v>
      </x:c>
      <x:c r="D48" s="27" t="n">
        <x:f>'计划购电量'!F48-'计划购电量'!B48</x:f>
        <x:v>0</x:v>
      </x:c>
      <x:c r="E48" s="27" t="n">
        <x:f>'计划购电量'!G48-'计划购电量'!B48</x:f>
        <x:v>0</x:v>
      </x:c>
      <x:c r="F48" s="27" t="n">
        <x:f>'计划购电量'!H48-'计划购电量'!B48</x:f>
        <x:v>0</x:v>
      </x:c>
      <x:c r="G48" s="27" t="n">
        <x:f>'计划购电量'!I48-'计划购电量'!B48</x:f>
        <x:v>0</x:v>
      </x:c>
      <x:c r="H48" s="27" t="n">
        <x:f>'计划购电量'!J48-'计划购电量'!B48</x:f>
        <x:v>0</x:v>
      </x:c>
      <x:c r="I48" s="27" t="n">
        <x:f>'计划购电量'!K48-'计划购电量'!B48</x:f>
        <x:v>0</x:v>
      </x:c>
      <x:c r="J48" s="27" t="n">
        <x:f>'计划购电量'!L48-'计划购电量'!B48</x:f>
        <x:v>0</x:v>
      </x:c>
      <x:c r="K48" s="27" t="n">
        <x:f>'计划购电量'!M48-'计划购电量'!B48</x:f>
        <x:v>0</x:v>
      </x:c>
      <x:c r="L48" s="27" t="n">
        <x:f>'计划购电量'!N48-'计划购电量'!B48</x:f>
        <x:v>0</x:v>
      </x:c>
      <x:c r="M48" s="27" t="n">
        <x:f>'计划购电量'!O48-'计划购电量'!B48</x:f>
        <x:v>0</x:v>
      </x:c>
      <x:c r="N48" s="27" t="n">
        <x:f>'计划购电量'!P48-'计划购电量'!B48</x:f>
        <x:v>0</x:v>
      </x:c>
      <x:c r="O48" s="27" t="n">
        <x:f>'计划购电量'!Q48-'计划购电量'!B48</x:f>
        <x:v>0</x:v>
      </x:c>
      <x:c r="P48" s="27" t="n">
        <x:f>'计划购电量'!R48-'计划购电量'!B48</x:f>
        <x:v>0</x:v>
      </x:c>
    </x:row>
    <x:row r="49" ht="25" customHeight="1">
      <x:c r="A49" s="27" t="str">
        <x:f>'计划购电量'!A49</x:f>
        <x:v>7:50-8:00</x:v>
      </x:c>
      <x:c r="B49" s="27" t="n">
        <x:f>'计划购电量'!D49-'计划购电量'!B49</x:f>
        <x:v>0</x:v>
      </x:c>
      <x:c r="C49" s="27" t="n">
        <x:f>'计划购电量'!E49-'计划购电量'!B49</x:f>
        <x:v>0</x:v>
      </x:c>
      <x:c r="D49" s="27" t="n">
        <x:f>'计划购电量'!F49-'计划购电量'!B49</x:f>
        <x:v>0</x:v>
      </x:c>
      <x:c r="E49" s="27" t="n">
        <x:f>'计划购电量'!G49-'计划购电量'!B49</x:f>
        <x:v>36.510666666666566</x:v>
      </x:c>
      <x:c r="F49" s="27" t="n">
        <x:f>'计划购电量'!H49-'计划购电量'!B49</x:f>
        <x:v>14.40399999999992</x:v>
      </x:c>
      <x:c r="G49" s="27" t="n">
        <x:f>'计划购电量'!I49-'计划购电量'!B49</x:f>
        <x:v>0</x:v>
      </x:c>
      <x:c r="H49" s="27" t="n">
        <x:f>'计划购电量'!J49-'计划购电量'!B49</x:f>
        <x:v>0</x:v>
      </x:c>
      <x:c r="I49" s="27" t="n">
        <x:f>'计划购电量'!K49-'计划购电量'!B49</x:f>
        <x:v>0</x:v>
      </x:c>
      <x:c r="J49" s="27" t="n">
        <x:f>'计划购电量'!L49-'计划购电量'!B49</x:f>
        <x:v>0</x:v>
      </x:c>
      <x:c r="K49" s="27" t="n">
        <x:f>'计划购电量'!M49-'计划购电量'!B49</x:f>
        <x:v>0</x:v>
      </x:c>
      <x:c r="L49" s="27" t="n">
        <x:f>'计划购电量'!N49-'计划购电量'!B49</x:f>
        <x:v>0</x:v>
      </x:c>
      <x:c r="M49" s="27" t="n">
        <x:f>'计划购电量'!O49-'计划购电量'!B49</x:f>
        <x:v>0</x:v>
      </x:c>
      <x:c r="N49" s="27" t="n">
        <x:f>'计划购电量'!P49-'计划购电量'!B49</x:f>
        <x:v>0</x:v>
      </x:c>
      <x:c r="O49" s="27" t="n">
        <x:f>'计划购电量'!Q49-'计划购电量'!B49</x:f>
        <x:v>0</x:v>
      </x:c>
      <x:c r="P49" s="27" t="n">
        <x:f>'计划购电量'!R49-'计划购电量'!B49</x:f>
        <x:v>0</x:v>
      </x:c>
    </x:row>
    <x:row r="50" ht="25" customHeight="1">
      <x:c r="A50" s="27" t="str">
        <x:f>'计划购电量'!A50</x:f>
        <x:v>8:00-8:10</x:v>
      </x:c>
      <x:c r="B50" s="27" t="n">
        <x:f>'计划购电量'!D50-'计划购电量'!B50</x:f>
        <x:v>0</x:v>
      </x:c>
      <x:c r="C50" s="27" t="n">
        <x:f>'计划购电量'!E50-'计划购电量'!B50</x:f>
        <x:v>0</x:v>
      </x:c>
      <x:c r="D50" s="27" t="n">
        <x:f>'计划购电量'!F50-'计划购电量'!B50</x:f>
        <x:v>0</x:v>
      </x:c>
      <x:c r="E50" s="27" t="n">
        <x:f>'计划购电量'!G50-'计划购电量'!B50</x:f>
        <x:v>0</x:v>
      </x:c>
      <x:c r="F50" s="27" t="n">
        <x:f>'计划购电量'!H50-'计划购电量'!B50</x:f>
        <x:v>0</x:v>
      </x:c>
      <x:c r="G50" s="27" t="n">
        <x:f>'计划购电量'!I50-'计划购电量'!B50</x:f>
        <x:v>0</x:v>
      </x:c>
      <x:c r="H50" s="27" t="n">
        <x:f>'计划购电量'!J50-'计划购电量'!B50</x:f>
        <x:v>0</x:v>
      </x:c>
      <x:c r="I50" s="27" t="n">
        <x:f>'计划购电量'!K50-'计划购电量'!B50</x:f>
        <x:v>0</x:v>
      </x:c>
      <x:c r="J50" s="27" t="n">
        <x:f>'计划购电量'!L50-'计划购电量'!B50</x:f>
        <x:v>0</x:v>
      </x:c>
      <x:c r="K50" s="27" t="n">
        <x:f>'计划购电量'!M50-'计划购电量'!B50</x:f>
        <x:v>0</x:v>
      </x:c>
      <x:c r="L50" s="27" t="n">
        <x:f>'计划购电量'!N50-'计划购电量'!B50</x:f>
        <x:v>0</x:v>
      </x:c>
      <x:c r="M50" s="27" t="n">
        <x:f>'计划购电量'!O50-'计划购电量'!B50</x:f>
        <x:v>0</x:v>
      </x:c>
      <x:c r="N50" s="27" t="n">
        <x:f>'计划购电量'!P50-'计划购电量'!B50</x:f>
        <x:v>0</x:v>
      </x:c>
      <x:c r="O50" s="27" t="n">
        <x:f>'计划购电量'!Q50-'计划购电量'!B50</x:f>
        <x:v>0</x:v>
      </x:c>
      <x:c r="P50" s="27" t="n">
        <x:f>'计划购电量'!R50-'计划购电量'!B50</x:f>
        <x:v>0</x:v>
      </x:c>
    </x:row>
    <x:row r="51" ht="25" customHeight="1">
      <x:c r="A51" s="27" t="str">
        <x:f>'计划购电量'!A51</x:f>
        <x:v>8:10-8:20</x:v>
      </x:c>
      <x:c r="B51" s="27" t="n">
        <x:f>'计划购电量'!D51-'计划购电量'!B51</x:f>
        <x:v>0</x:v>
      </x:c>
      <x:c r="C51" s="27" t="n">
        <x:f>'计划购电量'!E51-'计划购电量'!B51</x:f>
        <x:v>0</x:v>
      </x:c>
      <x:c r="D51" s="27" t="n">
        <x:f>'计划购电量'!F51-'计划购电量'!B51</x:f>
        <x:v>0</x:v>
      </x:c>
      <x:c r="E51" s="27" t="n">
        <x:f>'计划购电量'!G51-'计划购电量'!B51</x:f>
        <x:v>0</x:v>
      </x:c>
      <x:c r="F51" s="27" t="n">
        <x:f>'计划购电量'!H51-'计划购电量'!B51</x:f>
        <x:v>0</x:v>
      </x:c>
      <x:c r="G51" s="27" t="n">
        <x:f>'计划购电量'!I51-'计划购电量'!B51</x:f>
        <x:v>0</x:v>
      </x:c>
      <x:c r="H51" s="27" t="n">
        <x:f>'计划购电量'!J51-'计划购电量'!B51</x:f>
        <x:v>0</x:v>
      </x:c>
      <x:c r="I51" s="27" t="n">
        <x:f>'计划购电量'!K51-'计划购电量'!B51</x:f>
        <x:v>0</x:v>
      </x:c>
      <x:c r="J51" s="27" t="n">
        <x:f>'计划购电量'!L51-'计划购电量'!B51</x:f>
        <x:v>0</x:v>
      </x:c>
      <x:c r="K51" s="27" t="n">
        <x:f>'计划购电量'!M51-'计划购电量'!B51</x:f>
        <x:v>0</x:v>
      </x:c>
      <x:c r="L51" s="27" t="n">
        <x:f>'计划购电量'!N51-'计划购电量'!B51</x:f>
        <x:v>0</x:v>
      </x:c>
      <x:c r="M51" s="27" t="n">
        <x:f>'计划购电量'!O51-'计划购电量'!B51</x:f>
        <x:v>0</x:v>
      </x:c>
      <x:c r="N51" s="27" t="n">
        <x:f>'计划购电量'!P51-'计划购电量'!B51</x:f>
        <x:v>0</x:v>
      </x:c>
      <x:c r="O51" s="27" t="n">
        <x:f>'计划购电量'!Q51-'计划购电量'!B51</x:f>
        <x:v>0</x:v>
      </x:c>
      <x:c r="P51" s="27" t="n">
        <x:f>'计划购电量'!R51-'计划购电量'!B51</x:f>
        <x:v>0</x:v>
      </x:c>
    </x:row>
    <x:row r="52" ht="25" customHeight="1">
      <x:c r="A52" s="27" t="str">
        <x:f>'计划购电量'!A52</x:f>
        <x:v>8:20-8:30</x:v>
      </x:c>
      <x:c r="B52" s="27" t="n">
        <x:f>'计划购电量'!D52-'计划购电量'!B52</x:f>
        <x:v>0</x:v>
      </x:c>
      <x:c r="C52" s="27" t="n">
        <x:f>'计划购电量'!E52-'计划购电量'!B52</x:f>
        <x:v>0</x:v>
      </x:c>
      <x:c r="D52" s="27" t="n">
        <x:f>'计划购电量'!F52-'计划购电量'!B52</x:f>
        <x:v>0</x:v>
      </x:c>
      <x:c r="E52" s="27" t="n">
        <x:f>'计划购电量'!G52-'计划购电量'!B52</x:f>
        <x:v>0</x:v>
      </x:c>
      <x:c r="F52" s="27" t="n">
        <x:f>'计划购电量'!H52-'计划购电量'!B52</x:f>
        <x:v>0</x:v>
      </x:c>
      <x:c r="G52" s="27" t="n">
        <x:f>'计划购电量'!I52-'计划购电量'!B52</x:f>
        <x:v>0</x:v>
      </x:c>
      <x:c r="H52" s="27" t="n">
        <x:f>'计划购电量'!J52-'计划购电量'!B52</x:f>
        <x:v>0</x:v>
      </x:c>
      <x:c r="I52" s="27" t="n">
        <x:f>'计划购电量'!K52-'计划购电量'!B52</x:f>
        <x:v>0</x:v>
      </x:c>
      <x:c r="J52" s="27" t="n">
        <x:f>'计划购电量'!L52-'计划购电量'!B52</x:f>
        <x:v>0</x:v>
      </x:c>
      <x:c r="K52" s="27" t="n">
        <x:f>'计划购电量'!M52-'计划购电量'!B52</x:f>
        <x:v>0</x:v>
      </x:c>
      <x:c r="L52" s="27" t="n">
        <x:f>'计划购电量'!N52-'计划购电量'!B52</x:f>
        <x:v>0</x:v>
      </x:c>
      <x:c r="M52" s="27" t="n">
        <x:f>'计划购电量'!O52-'计划购电量'!B52</x:f>
        <x:v>0</x:v>
      </x:c>
      <x:c r="N52" s="27" t="n">
        <x:f>'计划购电量'!P52-'计划购电量'!B52</x:f>
        <x:v>0</x:v>
      </x:c>
      <x:c r="O52" s="27" t="n">
        <x:f>'计划购电量'!Q52-'计划购电量'!B52</x:f>
        <x:v>0</x:v>
      </x:c>
      <x:c r="P52" s="27" t="n">
        <x:f>'计划购电量'!R52-'计划购电量'!B52</x:f>
        <x:v>0</x:v>
      </x:c>
    </x:row>
    <x:row r="53" ht="25" customHeight="1">
      <x:c r="A53" s="27" t="str">
        <x:f>'计划购电量'!A53</x:f>
        <x:v>8:30-8:40</x:v>
      </x:c>
      <x:c r="B53" s="27" t="n">
        <x:f>'计划购电量'!D53-'计划购电量'!B53</x:f>
        <x:v>0</x:v>
      </x:c>
      <x:c r="C53" s="27" t="n">
        <x:f>'计划购电量'!E53-'计划购电量'!B53</x:f>
        <x:v>0</x:v>
      </x:c>
      <x:c r="D53" s="27" t="n">
        <x:f>'计划购电量'!F53-'计划购电量'!B53</x:f>
        <x:v>0</x:v>
      </x:c>
      <x:c r="E53" s="27" t="n">
        <x:f>'计划购电量'!G53-'计划购电量'!B53</x:f>
        <x:v>0</x:v>
      </x:c>
      <x:c r="F53" s="27" t="n">
        <x:f>'计划购电量'!H53-'计划购电量'!B53</x:f>
        <x:v>0</x:v>
      </x:c>
      <x:c r="G53" s="27" t="n">
        <x:f>'计划购电量'!I53-'计划购电量'!B53</x:f>
        <x:v>0</x:v>
      </x:c>
      <x:c r="H53" s="27" t="n">
        <x:f>'计划购电量'!J53-'计划购电量'!B53</x:f>
        <x:v>0</x:v>
      </x:c>
      <x:c r="I53" s="27" t="n">
        <x:f>'计划购电量'!K53-'计划购电量'!B53</x:f>
        <x:v>0</x:v>
      </x:c>
      <x:c r="J53" s="27" t="n">
        <x:f>'计划购电量'!L53-'计划购电量'!B53</x:f>
        <x:v>0</x:v>
      </x:c>
      <x:c r="K53" s="27" t="n">
        <x:f>'计划购电量'!M53-'计划购电量'!B53</x:f>
        <x:v>0</x:v>
      </x:c>
      <x:c r="L53" s="27" t="n">
        <x:f>'计划购电量'!N53-'计划购电量'!B53</x:f>
        <x:v>0</x:v>
      </x:c>
      <x:c r="M53" s="27" t="n">
        <x:f>'计划购电量'!O53-'计划购电量'!B53</x:f>
        <x:v>0</x:v>
      </x:c>
      <x:c r="N53" s="27" t="n">
        <x:f>'计划购电量'!P53-'计划购电量'!B53</x:f>
        <x:v>0</x:v>
      </x:c>
      <x:c r="O53" s="27" t="n">
        <x:f>'计划购电量'!Q53-'计划购电量'!B53</x:f>
        <x:v>0</x:v>
      </x:c>
      <x:c r="P53" s="27" t="n">
        <x:f>'计划购电量'!R53-'计划购电量'!B53</x:f>
        <x:v>0</x:v>
      </x:c>
    </x:row>
    <x:row r="54" ht="25" customHeight="1">
      <x:c r="A54" s="27" t="str">
        <x:f>'计划购电量'!A54</x:f>
        <x:v>8:40-8:50</x:v>
      </x:c>
      <x:c r="B54" s="27" t="n">
        <x:f>'计划购电量'!D54-'计划购电量'!B54</x:f>
        <x:v>0</x:v>
      </x:c>
      <x:c r="C54" s="27" t="n">
        <x:f>'计划购电量'!E54-'计划购电量'!B54</x:f>
        <x:v>0</x:v>
      </x:c>
      <x:c r="D54" s="27" t="n">
        <x:f>'计划购电量'!F54-'计划购电量'!B54</x:f>
        <x:v>0</x:v>
      </x:c>
      <x:c r="E54" s="27" t="n">
        <x:f>'计划购电量'!G54-'计划购电量'!B54</x:f>
        <x:v>0</x:v>
      </x:c>
      <x:c r="F54" s="27" t="n">
        <x:f>'计划购电量'!H54-'计划购电量'!B54</x:f>
        <x:v>0</x:v>
      </x:c>
      <x:c r="G54" s="27" t="n">
        <x:f>'计划购电量'!I54-'计划购电量'!B54</x:f>
        <x:v>0</x:v>
      </x:c>
      <x:c r="H54" s="27" t="n">
        <x:f>'计划购电量'!J54-'计划购电量'!B54</x:f>
        <x:v>0</x:v>
      </x:c>
      <x:c r="I54" s="27" t="n">
        <x:f>'计划购电量'!K54-'计划购电量'!B54</x:f>
        <x:v>0</x:v>
      </x:c>
      <x:c r="J54" s="27" t="n">
        <x:f>'计划购电量'!L54-'计划购电量'!B54</x:f>
        <x:v>0</x:v>
      </x:c>
      <x:c r="K54" s="27" t="n">
        <x:f>'计划购电量'!M54-'计划购电量'!B54</x:f>
        <x:v>0</x:v>
      </x:c>
      <x:c r="L54" s="27" t="n">
        <x:f>'计划购电量'!N54-'计划购电量'!B54</x:f>
        <x:v>0</x:v>
      </x:c>
      <x:c r="M54" s="27" t="n">
        <x:f>'计划购电量'!O54-'计划购电量'!B54</x:f>
        <x:v>0</x:v>
      </x:c>
      <x:c r="N54" s="27" t="n">
        <x:f>'计划购电量'!P54-'计划购电量'!B54</x:f>
        <x:v>0</x:v>
      </x:c>
      <x:c r="O54" s="27" t="n">
        <x:f>'计划购电量'!Q54-'计划购电量'!B54</x:f>
        <x:v>0</x:v>
      </x:c>
      <x:c r="P54" s="27" t="n">
        <x:f>'计划购电量'!R54-'计划购电量'!B54</x:f>
        <x:v>0</x:v>
      </x:c>
    </x:row>
    <x:row r="55" ht="25" customHeight="1">
      <x:c r="A55" s="27" t="str">
        <x:f>'计划购电量'!A55</x:f>
        <x:v>8:50-9:00</x:v>
      </x:c>
      <x:c r="B55" s="27" t="n">
        <x:f>'计划购电量'!D55-'计划购电量'!B55</x:f>
        <x:v>0</x:v>
      </x:c>
      <x:c r="C55" s="27" t="n">
        <x:f>'计划购电量'!E55-'计划购电量'!B55</x:f>
        <x:v>0</x:v>
      </x:c>
      <x:c r="D55" s="27" t="n">
        <x:f>'计划购电量'!F55-'计划购电量'!B55</x:f>
        <x:v>0</x:v>
      </x:c>
      <x:c r="E55" s="27" t="n">
        <x:f>'计划购电量'!G55-'计划购电量'!B55</x:f>
        <x:v>0</x:v>
      </x:c>
      <x:c r="F55" s="27" t="n">
        <x:f>'计划购电量'!H55-'计划购电量'!B55</x:f>
        <x:v>0</x:v>
      </x:c>
      <x:c r="G55" s="27" t="n">
        <x:f>'计划购电量'!I55-'计划购电量'!B55</x:f>
        <x:v>0</x:v>
      </x:c>
      <x:c r="H55" s="27" t="n">
        <x:f>'计划购电量'!J55-'计划购电量'!B55</x:f>
        <x:v>0</x:v>
      </x:c>
      <x:c r="I55" s="27" t="n">
        <x:f>'计划购电量'!K55-'计划购电量'!B55</x:f>
        <x:v>0</x:v>
      </x:c>
      <x:c r="J55" s="27" t="n">
        <x:f>'计划购电量'!L55-'计划购电量'!B55</x:f>
        <x:v>0</x:v>
      </x:c>
      <x:c r="K55" s="27" t="n">
        <x:f>'计划购电量'!M55-'计划购电量'!B55</x:f>
        <x:v>0</x:v>
      </x:c>
      <x:c r="L55" s="27" t="n">
        <x:f>'计划购电量'!N55-'计划购电量'!B55</x:f>
        <x:v>0</x:v>
      </x:c>
      <x:c r="M55" s="27" t="n">
        <x:f>'计划购电量'!O55-'计划购电量'!B55</x:f>
        <x:v>0</x:v>
      </x:c>
      <x:c r="N55" s="27" t="n">
        <x:f>'计划购电量'!P55-'计划购电量'!B55</x:f>
        <x:v>0</x:v>
      </x:c>
      <x:c r="O55" s="27" t="n">
        <x:f>'计划购电量'!Q55-'计划购电量'!B55</x:f>
        <x:v>0</x:v>
      </x:c>
      <x:c r="P55" s="27" t="n">
        <x:f>'计划购电量'!R55-'计划购电量'!B55</x:f>
        <x:v>0</x:v>
      </x:c>
    </x:row>
    <x:row r="56" ht="25" customHeight="1">
      <x:c r="A56" s="27" t="str">
        <x:f>'计划购电量'!A56</x:f>
        <x:v>9:00-9:10</x:v>
      </x:c>
      <x:c r="B56" s="27" t="n">
        <x:f>'计划购电量'!D56-'计划购电量'!B56</x:f>
        <x:v>0</x:v>
      </x:c>
      <x:c r="C56" s="27" t="n">
        <x:f>'计划购电量'!E56-'计划购电量'!B56</x:f>
        <x:v>0</x:v>
      </x:c>
      <x:c r="D56" s="27" t="n">
        <x:f>'计划购电量'!F56-'计划购电量'!B56</x:f>
        <x:v>0</x:v>
      </x:c>
      <x:c r="E56" s="27" t="n">
        <x:f>'计划购电量'!G56-'计划购电量'!B56</x:f>
        <x:v>0</x:v>
      </x:c>
      <x:c r="F56" s="27" t="n">
        <x:f>'计划购电量'!H56-'计划购电量'!B56</x:f>
        <x:v>0</x:v>
      </x:c>
      <x:c r="G56" s="27" t="n">
        <x:f>'计划购电量'!I56-'计划购电量'!B56</x:f>
        <x:v>0</x:v>
      </x:c>
      <x:c r="H56" s="27" t="n">
        <x:f>'计划购电量'!J56-'计划购电量'!B56</x:f>
        <x:v>0</x:v>
      </x:c>
      <x:c r="I56" s="27" t="n">
        <x:f>'计划购电量'!K56-'计划购电量'!B56</x:f>
        <x:v>0</x:v>
      </x:c>
      <x:c r="J56" s="27" t="n">
        <x:f>'计划购电量'!L56-'计划购电量'!B56</x:f>
        <x:v>0</x:v>
      </x:c>
      <x:c r="K56" s="27" t="n">
        <x:f>'计划购电量'!M56-'计划购电量'!B56</x:f>
        <x:v>0</x:v>
      </x:c>
      <x:c r="L56" s="27" t="n">
        <x:f>'计划购电量'!N56-'计划购电量'!B56</x:f>
        <x:v>0</x:v>
      </x:c>
      <x:c r="M56" s="27" t="n">
        <x:f>'计划购电量'!O56-'计划购电量'!B56</x:f>
        <x:v>0</x:v>
      </x:c>
      <x:c r="N56" s="27" t="n">
        <x:f>'计划购电量'!P56-'计划购电量'!B56</x:f>
        <x:v>0</x:v>
      </x:c>
      <x:c r="O56" s="27" t="n">
        <x:f>'计划购电量'!Q56-'计划购电量'!B56</x:f>
        <x:v>0</x:v>
      </x:c>
      <x:c r="P56" s="27" t="n">
        <x:f>'计划购电量'!R56-'计划购电量'!B56</x:f>
        <x:v>0</x:v>
      </x:c>
    </x:row>
    <x:row r="57" ht="25" customHeight="1">
      <x:c r="A57" s="27" t="str">
        <x:f>'计划购电量'!A57</x:f>
        <x:v>9:10-9:20</x:v>
      </x:c>
      <x:c r="B57" s="27" t="n">
        <x:f>'计划购电量'!D57-'计划购电量'!B57</x:f>
        <x:v>0</x:v>
      </x:c>
      <x:c r="C57" s="27" t="n">
        <x:f>'计划购电量'!E57-'计划购电量'!B57</x:f>
        <x:v>0</x:v>
      </x:c>
      <x:c r="D57" s="27" t="n">
        <x:f>'计划购电量'!F57-'计划购电量'!B57</x:f>
        <x:v>0</x:v>
      </x:c>
      <x:c r="E57" s="27" t="n">
        <x:f>'计划购电量'!G57-'计划购电量'!B57</x:f>
        <x:v>0</x:v>
      </x:c>
      <x:c r="F57" s="27" t="n">
        <x:f>'计划购电量'!H57-'计划购电量'!B57</x:f>
        <x:v>0</x:v>
      </x:c>
      <x:c r="G57" s="27" t="n">
        <x:f>'计划购电量'!I57-'计划购电量'!B57</x:f>
        <x:v>0</x:v>
      </x:c>
      <x:c r="H57" s="27" t="n">
        <x:f>'计划购电量'!J57-'计划购电量'!B57</x:f>
        <x:v>0</x:v>
      </x:c>
      <x:c r="I57" s="27" t="n">
        <x:f>'计划购电量'!K57-'计划购电量'!B57</x:f>
        <x:v>0</x:v>
      </x:c>
      <x:c r="J57" s="27" t="n">
        <x:f>'计划购电量'!L57-'计划购电量'!B57</x:f>
        <x:v>0</x:v>
      </x:c>
      <x:c r="K57" s="27" t="n">
        <x:f>'计划购电量'!M57-'计划购电量'!B57</x:f>
        <x:v>0</x:v>
      </x:c>
      <x:c r="L57" s="27" t="n">
        <x:f>'计划购电量'!N57-'计划购电量'!B57</x:f>
        <x:v>0</x:v>
      </x:c>
      <x:c r="M57" s="27" t="n">
        <x:f>'计划购电量'!O57-'计划购电量'!B57</x:f>
        <x:v>0</x:v>
      </x:c>
      <x:c r="N57" s="27" t="n">
        <x:f>'计划购电量'!P57-'计划购电量'!B57</x:f>
        <x:v>0</x:v>
      </x:c>
      <x:c r="O57" s="27" t="n">
        <x:f>'计划购电量'!Q57-'计划购电量'!B57</x:f>
        <x:v>0</x:v>
      </x:c>
      <x:c r="P57" s="27" t="n">
        <x:f>'计划购电量'!R57-'计划购电量'!B57</x:f>
        <x:v>0</x:v>
      </x:c>
    </x:row>
    <x:row r="58" ht="25" customHeight="1">
      <x:c r="A58" s="27" t="str">
        <x:f>'计划购电量'!A58</x:f>
        <x:v>9:20-9:30</x:v>
      </x:c>
      <x:c r="B58" s="27" t="n">
        <x:f>'计划购电量'!D58-'计划购电量'!B58</x:f>
        <x:v>0</x:v>
      </x:c>
      <x:c r="C58" s="27" t="n">
        <x:f>'计划购电量'!E58-'计划购电量'!B58</x:f>
        <x:v>0</x:v>
      </x:c>
      <x:c r="D58" s="27" t="n">
        <x:f>'计划购电量'!F58-'计划购电量'!B58</x:f>
        <x:v>0</x:v>
      </x:c>
      <x:c r="E58" s="27" t="n">
        <x:f>'计划购电量'!G58-'计划购电量'!B58</x:f>
        <x:v>0</x:v>
      </x:c>
      <x:c r="F58" s="27" t="n">
        <x:f>'计划购电量'!H58-'计划购电量'!B58</x:f>
        <x:v>0</x:v>
      </x:c>
      <x:c r="G58" s="27" t="n">
        <x:f>'计划购电量'!I58-'计划购电量'!B58</x:f>
        <x:v>0</x:v>
      </x:c>
      <x:c r="H58" s="27" t="n">
        <x:f>'计划购电量'!J58-'计划购电量'!B58</x:f>
        <x:v>0</x:v>
      </x:c>
      <x:c r="I58" s="27" t="n">
        <x:f>'计划购电量'!K58-'计划购电量'!B58</x:f>
        <x:v>0</x:v>
      </x:c>
      <x:c r="J58" s="27" t="n">
        <x:f>'计划购电量'!L58-'计划购电量'!B58</x:f>
        <x:v>0</x:v>
      </x:c>
      <x:c r="K58" s="27" t="n">
        <x:f>'计划购电量'!M58-'计划购电量'!B58</x:f>
        <x:v>0</x:v>
      </x:c>
      <x:c r="L58" s="27" t="n">
        <x:f>'计划购电量'!N58-'计划购电量'!B58</x:f>
        <x:v>0</x:v>
      </x:c>
      <x:c r="M58" s="27" t="n">
        <x:f>'计划购电量'!O58-'计划购电量'!B58</x:f>
        <x:v>0</x:v>
      </x:c>
      <x:c r="N58" s="27" t="n">
        <x:f>'计划购电量'!P58-'计划购电量'!B58</x:f>
        <x:v>0</x:v>
      </x:c>
      <x:c r="O58" s="27" t="n">
        <x:f>'计划购电量'!Q58-'计划购电量'!B58</x:f>
        <x:v>0</x:v>
      </x:c>
      <x:c r="P58" s="27" t="n">
        <x:f>'计划购电量'!R58-'计划购电量'!B58</x:f>
        <x:v>0</x:v>
      </x:c>
    </x:row>
    <x:row r="59" ht="25" customHeight="1">
      <x:c r="A59" s="27" t="str">
        <x:f>'计划购电量'!A59</x:f>
        <x:v>9:30-9:40</x:v>
      </x:c>
      <x:c r="B59" s="27" t="n">
        <x:f>'计划购电量'!D59-'计划购电量'!B59</x:f>
        <x:v>0</x:v>
      </x:c>
      <x:c r="C59" s="27" t="n">
        <x:f>'计划购电量'!E59-'计划购电量'!B59</x:f>
        <x:v>0</x:v>
      </x:c>
      <x:c r="D59" s="27" t="n">
        <x:f>'计划购电量'!F59-'计划购电量'!B59</x:f>
        <x:v>0</x:v>
      </x:c>
      <x:c r="E59" s="27" t="n">
        <x:f>'计划购电量'!G59-'计划购电量'!B59</x:f>
        <x:v>0</x:v>
      </x:c>
      <x:c r="F59" s="27" t="n">
        <x:f>'计划购电量'!H59-'计划购电量'!B59</x:f>
        <x:v>0</x:v>
      </x:c>
      <x:c r="G59" s="27" t="n">
        <x:f>'计划购电量'!I59-'计划购电量'!B59</x:f>
        <x:v>0</x:v>
      </x:c>
      <x:c r="H59" s="27" t="n">
        <x:f>'计划购电量'!J59-'计划购电量'!B59</x:f>
        <x:v>0</x:v>
      </x:c>
      <x:c r="I59" s="27" t="n">
        <x:f>'计划购电量'!K59-'计划购电量'!B59</x:f>
        <x:v>0</x:v>
      </x:c>
      <x:c r="J59" s="27" t="n">
        <x:f>'计划购电量'!L59-'计划购电量'!B59</x:f>
        <x:v>0</x:v>
      </x:c>
      <x:c r="K59" s="27" t="n">
        <x:f>'计划购电量'!M59-'计划购电量'!B59</x:f>
        <x:v>0</x:v>
      </x:c>
      <x:c r="L59" s="27" t="n">
        <x:f>'计划购电量'!N59-'计划购电量'!B59</x:f>
        <x:v>0</x:v>
      </x:c>
      <x:c r="M59" s="27" t="n">
        <x:f>'计划购电量'!O59-'计划购电量'!B59</x:f>
        <x:v>0</x:v>
      </x:c>
      <x:c r="N59" s="27" t="n">
        <x:f>'计划购电量'!P59-'计划购电量'!B59</x:f>
        <x:v>0</x:v>
      </x:c>
      <x:c r="O59" s="27" t="n">
        <x:f>'计划购电量'!Q59-'计划购电量'!B59</x:f>
        <x:v>0</x:v>
      </x:c>
      <x:c r="P59" s="27" t="n">
        <x:f>'计划购电量'!R59-'计划购电量'!B59</x:f>
        <x:v>0</x:v>
      </x:c>
    </x:row>
    <x:row r="60" ht="25" customHeight="1">
      <x:c r="A60" s="27" t="str">
        <x:f>'计划购电量'!A60</x:f>
        <x:v>9:40-9:50</x:v>
      </x:c>
      <x:c r="B60" s="27" t="n">
        <x:f>'计划购电量'!D60-'计划购电量'!B60</x:f>
        <x:v>0</x:v>
      </x:c>
      <x:c r="C60" s="27" t="n">
        <x:f>'计划购电量'!E60-'计划购电量'!B60</x:f>
        <x:v>0</x:v>
      </x:c>
      <x:c r="D60" s="27" t="n">
        <x:f>'计划购电量'!F60-'计划购电量'!B60</x:f>
        <x:v>0</x:v>
      </x:c>
      <x:c r="E60" s="27" t="n">
        <x:f>'计划购电量'!G60-'计划购电量'!B60</x:f>
        <x:v>0</x:v>
      </x:c>
      <x:c r="F60" s="27" t="n">
        <x:f>'计划购电量'!H60-'计划购电量'!B60</x:f>
        <x:v>0</x:v>
      </x:c>
      <x:c r="G60" s="27" t="n">
        <x:f>'计划购电量'!I60-'计划购电量'!B60</x:f>
        <x:v>0</x:v>
      </x:c>
      <x:c r="H60" s="27" t="n">
        <x:f>'计划购电量'!J60-'计划购电量'!B60</x:f>
        <x:v>0</x:v>
      </x:c>
      <x:c r="I60" s="27" t="n">
        <x:f>'计划购电量'!K60-'计划购电量'!B60</x:f>
        <x:v>0</x:v>
      </x:c>
      <x:c r="J60" s="27" t="n">
        <x:f>'计划购电量'!L60-'计划购电量'!B60</x:f>
        <x:v>0</x:v>
      </x:c>
      <x:c r="K60" s="27" t="n">
        <x:f>'计划购电量'!M60-'计划购电量'!B60</x:f>
        <x:v>0</x:v>
      </x:c>
      <x:c r="L60" s="27" t="n">
        <x:f>'计划购电量'!N60-'计划购电量'!B60</x:f>
        <x:v>0</x:v>
      </x:c>
      <x:c r="M60" s="27" t="n">
        <x:f>'计划购电量'!O60-'计划购电量'!B60</x:f>
        <x:v>0</x:v>
      </x:c>
      <x:c r="N60" s="27" t="n">
        <x:f>'计划购电量'!P60-'计划购电量'!B60</x:f>
        <x:v>0</x:v>
      </x:c>
      <x:c r="O60" s="27" t="n">
        <x:f>'计划购电量'!Q60-'计划购电量'!B60</x:f>
        <x:v>0</x:v>
      </x:c>
      <x:c r="P60" s="27" t="n">
        <x:f>'计划购电量'!R60-'计划购电量'!B60</x:f>
        <x:v>0</x:v>
      </x:c>
    </x:row>
    <x:row r="61" ht="25" customHeight="1">
      <x:c r="A61" s="27" t="str">
        <x:f>'计划购电量'!A61</x:f>
        <x:v>9:50-10:00</x:v>
      </x:c>
      <x:c r="B61" s="27" t="n">
        <x:f>'计划购电量'!D61-'计划购电量'!B61</x:f>
        <x:v>0</x:v>
      </x:c>
      <x:c r="C61" s="27" t="n">
        <x:f>'计划购电量'!E61-'计划购电量'!B61</x:f>
        <x:v>0</x:v>
      </x:c>
      <x:c r="D61" s="27" t="n">
        <x:f>'计划购电量'!F61-'计划购电量'!B61</x:f>
        <x:v>0</x:v>
      </x:c>
      <x:c r="E61" s="27" t="n">
        <x:f>'计划购电量'!G61-'计划购电量'!B61</x:f>
        <x:v>0</x:v>
      </x:c>
      <x:c r="F61" s="27" t="n">
        <x:f>'计划购电量'!H61-'计划购电量'!B61</x:f>
        <x:v>0</x:v>
      </x:c>
      <x:c r="G61" s="27" t="n">
        <x:f>'计划购电量'!I61-'计划购电量'!B61</x:f>
        <x:v>0</x:v>
      </x:c>
      <x:c r="H61" s="27" t="n">
        <x:f>'计划购电量'!J61-'计划购电量'!B61</x:f>
        <x:v>0</x:v>
      </x:c>
      <x:c r="I61" s="27" t="n">
        <x:f>'计划购电量'!K61-'计划购电量'!B61</x:f>
        <x:v>0</x:v>
      </x:c>
      <x:c r="J61" s="27" t="n">
        <x:f>'计划购电量'!L61-'计划购电量'!B61</x:f>
        <x:v>0</x:v>
      </x:c>
      <x:c r="K61" s="27" t="n">
        <x:f>'计划购电量'!M61-'计划购电量'!B61</x:f>
        <x:v>0</x:v>
      </x:c>
      <x:c r="L61" s="27" t="n">
        <x:f>'计划购电量'!N61-'计划购电量'!B61</x:f>
        <x:v>0</x:v>
      </x:c>
      <x:c r="M61" s="27" t="n">
        <x:f>'计划购电量'!O61-'计划购电量'!B61</x:f>
        <x:v>0</x:v>
      </x:c>
      <x:c r="N61" s="27" t="n">
        <x:f>'计划购电量'!P61-'计划购电量'!B61</x:f>
        <x:v>0</x:v>
      </x:c>
      <x:c r="O61" s="27" t="n">
        <x:f>'计划购电量'!Q61-'计划购电量'!B61</x:f>
        <x:v>0</x:v>
      </x:c>
      <x:c r="P61" s="27" t="n">
        <x:f>'计划购电量'!R61-'计划购电量'!B61</x:f>
        <x:v>0</x:v>
      </x:c>
    </x:row>
    <x:row r="62" ht="25" customHeight="1">
      <x:c r="A62" s="27" t="str">
        <x:f>'计划购电量'!A62</x:f>
        <x:v>10:00-10:10</x:v>
      </x:c>
      <x:c r="B62" s="27" t="n">
        <x:f>'计划购电量'!D62-'计划购电量'!B62</x:f>
        <x:v>0</x:v>
      </x:c>
      <x:c r="C62" s="27" t="n">
        <x:f>'计划购电量'!E62-'计划购电量'!B62</x:f>
        <x:v>0</x:v>
      </x:c>
      <x:c r="D62" s="27" t="n">
        <x:f>'计划购电量'!F62-'计划购电量'!B62</x:f>
        <x:v>0</x:v>
      </x:c>
      <x:c r="E62" s="27" t="n">
        <x:f>'计划购电量'!G62-'计划购电量'!B62</x:f>
        <x:v>0</x:v>
      </x:c>
      <x:c r="F62" s="27" t="n">
        <x:f>'计划购电量'!H62-'计划购电量'!B62</x:f>
        <x:v>0</x:v>
      </x:c>
      <x:c r="G62" s="27" t="n">
        <x:f>'计划购电量'!I62-'计划购电量'!B62</x:f>
        <x:v>0</x:v>
      </x:c>
      <x:c r="H62" s="27" t="n">
        <x:f>'计划购电量'!J62-'计划购电量'!B62</x:f>
        <x:v>0</x:v>
      </x:c>
      <x:c r="I62" s="27" t="n">
        <x:f>'计划购电量'!K62-'计划购电量'!B62</x:f>
        <x:v>0</x:v>
      </x:c>
      <x:c r="J62" s="27" t="n">
        <x:f>'计划购电量'!L62-'计划购电量'!B62</x:f>
        <x:v>0</x:v>
      </x:c>
      <x:c r="K62" s="27" t="n">
        <x:f>'计划购电量'!M62-'计划购电量'!B62</x:f>
        <x:v>0</x:v>
      </x:c>
      <x:c r="L62" s="27" t="n">
        <x:f>'计划购电量'!N62-'计划购电量'!B62</x:f>
        <x:v>0</x:v>
      </x:c>
      <x:c r="M62" s="27" t="n">
        <x:f>'计划购电量'!O62-'计划购电量'!B62</x:f>
        <x:v>0</x:v>
      </x:c>
      <x:c r="N62" s="27" t="n">
        <x:f>'计划购电量'!P62-'计划购电量'!B62</x:f>
        <x:v>0</x:v>
      </x:c>
      <x:c r="O62" s="27" t="n">
        <x:f>'计划购电量'!Q62-'计划购电量'!B62</x:f>
        <x:v>0</x:v>
      </x:c>
      <x:c r="P62" s="27" t="n">
        <x:f>'计划购电量'!R62-'计划购电量'!B62</x:f>
        <x:v>0</x:v>
      </x:c>
    </x:row>
    <x:row r="63" ht="25" customHeight="1">
      <x:c r="A63" s="27" t="str">
        <x:f>'计划购电量'!A63</x:f>
        <x:v>10:10-10:20</x:v>
      </x:c>
      <x:c r="B63" s="27" t="n">
        <x:f>'计划购电量'!D63-'计划购电量'!B63</x:f>
        <x:v>0</x:v>
      </x:c>
      <x:c r="C63" s="27" t="n">
        <x:f>'计划购电量'!E63-'计划购电量'!B63</x:f>
        <x:v>0</x:v>
      </x:c>
      <x:c r="D63" s="27" t="n">
        <x:f>'计划购电量'!F63-'计划购电量'!B63</x:f>
        <x:v>0</x:v>
      </x:c>
      <x:c r="E63" s="27" t="n">
        <x:f>'计划购电量'!G63-'计划购电量'!B63</x:f>
        <x:v>0</x:v>
      </x:c>
      <x:c r="F63" s="27" t="n">
        <x:f>'计划购电量'!H63-'计划购电量'!B63</x:f>
        <x:v>0</x:v>
      </x:c>
      <x:c r="G63" s="27" t="n">
        <x:f>'计划购电量'!I63-'计划购电量'!B63</x:f>
        <x:v>0</x:v>
      </x:c>
      <x:c r="H63" s="27" t="n">
        <x:f>'计划购电量'!J63-'计划购电量'!B63</x:f>
        <x:v>0</x:v>
      </x:c>
      <x:c r="I63" s="27" t="n">
        <x:f>'计划购电量'!K63-'计划购电量'!B63</x:f>
        <x:v>0</x:v>
      </x:c>
      <x:c r="J63" s="27" t="n">
        <x:f>'计划购电量'!L63-'计划购电量'!B63</x:f>
        <x:v>0</x:v>
      </x:c>
      <x:c r="K63" s="27" t="n">
        <x:f>'计划购电量'!M63-'计划购电量'!B63</x:f>
        <x:v>0</x:v>
      </x:c>
      <x:c r="L63" s="27" t="n">
        <x:f>'计划购电量'!N63-'计划购电量'!B63</x:f>
        <x:v>0</x:v>
      </x:c>
      <x:c r="M63" s="27" t="n">
        <x:f>'计划购电量'!O63-'计划购电量'!B63</x:f>
        <x:v>0</x:v>
      </x:c>
      <x:c r="N63" s="27" t="n">
        <x:f>'计划购电量'!P63-'计划购电量'!B63</x:f>
        <x:v>0</x:v>
      </x:c>
      <x:c r="O63" s="27" t="n">
        <x:f>'计划购电量'!Q63-'计划购电量'!B63</x:f>
        <x:v>0</x:v>
      </x:c>
      <x:c r="P63" s="27" t="n">
        <x:f>'计划购电量'!R63-'计划购电量'!B63</x:f>
        <x:v>0</x:v>
      </x:c>
    </x:row>
    <x:row r="64" ht="25" customHeight="1">
      <x:c r="A64" s="27" t="str">
        <x:f>'计划购电量'!A64</x:f>
        <x:v>10:20-10:30</x:v>
      </x:c>
      <x:c r="B64" s="27" t="n">
        <x:f>'计划购电量'!D64-'计划购电量'!B64</x:f>
        <x:v>0</x:v>
      </x:c>
      <x:c r="C64" s="27" t="n">
        <x:f>'计划购电量'!E64-'计划购电量'!B64</x:f>
        <x:v>0</x:v>
      </x:c>
      <x:c r="D64" s="27" t="n">
        <x:f>'计划购电量'!F64-'计划购电量'!B64</x:f>
        <x:v>0</x:v>
      </x:c>
      <x:c r="E64" s="27" t="n">
        <x:f>'计划购电量'!G64-'计划购电量'!B64</x:f>
        <x:v>0</x:v>
      </x:c>
      <x:c r="F64" s="27" t="n">
        <x:f>'计划购电量'!H64-'计划购电量'!B64</x:f>
        <x:v>0</x:v>
      </x:c>
      <x:c r="G64" s="27" t="n">
        <x:f>'计划购电量'!I64-'计划购电量'!B64</x:f>
        <x:v>0</x:v>
      </x:c>
      <x:c r="H64" s="27" t="n">
        <x:f>'计划购电量'!J64-'计划购电量'!B64</x:f>
        <x:v>0</x:v>
      </x:c>
      <x:c r="I64" s="27" t="n">
        <x:f>'计划购电量'!K64-'计划购电量'!B64</x:f>
        <x:v>0</x:v>
      </x:c>
      <x:c r="J64" s="27" t="n">
        <x:f>'计划购电量'!L64-'计划购电量'!B64</x:f>
        <x:v>0</x:v>
      </x:c>
      <x:c r="K64" s="27" t="n">
        <x:f>'计划购电量'!M64-'计划购电量'!B64</x:f>
        <x:v>0</x:v>
      </x:c>
      <x:c r="L64" s="27" t="n">
        <x:f>'计划购电量'!N64-'计划购电量'!B64</x:f>
        <x:v>0</x:v>
      </x:c>
      <x:c r="M64" s="27" t="n">
        <x:f>'计划购电量'!O64-'计划购电量'!B64</x:f>
        <x:v>0</x:v>
      </x:c>
      <x:c r="N64" s="27" t="n">
        <x:f>'计划购电量'!P64-'计划购电量'!B64</x:f>
        <x:v>0</x:v>
      </x:c>
      <x:c r="O64" s="27" t="n">
        <x:f>'计划购电量'!Q64-'计划购电量'!B64</x:f>
        <x:v>0</x:v>
      </x:c>
      <x:c r="P64" s="27" t="n">
        <x:f>'计划购电量'!R64-'计划购电量'!B64</x:f>
        <x:v>0</x:v>
      </x:c>
    </x:row>
    <x:row r="65" ht="25" customHeight="1">
      <x:c r="A65" s="27" t="str">
        <x:f>'计划购电量'!A65</x:f>
        <x:v>10:30-10:40</x:v>
      </x:c>
      <x:c r="B65" s="27" t="n">
        <x:f>'计划购电量'!D65-'计划购电量'!B65</x:f>
        <x:v>0</x:v>
      </x:c>
      <x:c r="C65" s="27" t="n">
        <x:f>'计划购电量'!E65-'计划购电量'!B65</x:f>
        <x:v>0</x:v>
      </x:c>
      <x:c r="D65" s="27" t="n">
        <x:f>'计划购电量'!F65-'计划购电量'!B65</x:f>
        <x:v>0</x:v>
      </x:c>
      <x:c r="E65" s="27" t="n">
        <x:f>'计划购电量'!G65-'计划购电量'!B65</x:f>
        <x:v>0</x:v>
      </x:c>
      <x:c r="F65" s="27" t="n">
        <x:f>'计划购电量'!H65-'计划购电量'!B65</x:f>
        <x:v>0</x:v>
      </x:c>
      <x:c r="G65" s="27" t="n">
        <x:f>'计划购电量'!I65-'计划购电量'!B65</x:f>
        <x:v>0</x:v>
      </x:c>
      <x:c r="H65" s="27" t="n">
        <x:f>'计划购电量'!J65-'计划购电量'!B65</x:f>
        <x:v>0</x:v>
      </x:c>
      <x:c r="I65" s="27" t="n">
        <x:f>'计划购电量'!K65-'计划购电量'!B65</x:f>
        <x:v>0</x:v>
      </x:c>
      <x:c r="J65" s="27" t="n">
        <x:f>'计划购电量'!L65-'计划购电量'!B65</x:f>
        <x:v>0</x:v>
      </x:c>
      <x:c r="K65" s="27" t="n">
        <x:f>'计划购电量'!M65-'计划购电量'!B65</x:f>
        <x:v>0</x:v>
      </x:c>
      <x:c r="L65" s="27" t="n">
        <x:f>'计划购电量'!N65-'计划购电量'!B65</x:f>
        <x:v>0</x:v>
      </x:c>
      <x:c r="M65" s="27" t="n">
        <x:f>'计划购电量'!O65-'计划购电量'!B65</x:f>
        <x:v>0</x:v>
      </x:c>
      <x:c r="N65" s="27" t="n">
        <x:f>'计划购电量'!P65-'计划购电量'!B65</x:f>
        <x:v>0</x:v>
      </x:c>
      <x:c r="O65" s="27" t="n">
        <x:f>'计划购电量'!Q65-'计划购电量'!B65</x:f>
        <x:v>0</x:v>
      </x:c>
      <x:c r="P65" s="27" t="n">
        <x:f>'计划购电量'!R65-'计划购电量'!B65</x:f>
        <x:v>0</x:v>
      </x:c>
    </x:row>
    <x:row r="66" ht="25" customHeight="1">
      <x:c r="A66" s="27" t="str">
        <x:f>'计划购电量'!A66</x:f>
        <x:v>10:40-10:50</x:v>
      </x:c>
      <x:c r="B66" s="27" t="n">
        <x:f>'计划购电量'!D66-'计划购电量'!B66</x:f>
        <x:v>0</x:v>
      </x:c>
      <x:c r="C66" s="27" t="n">
        <x:f>'计划购电量'!E66-'计划购电量'!B66</x:f>
        <x:v>0</x:v>
      </x:c>
      <x:c r="D66" s="27" t="n">
        <x:f>'计划购电量'!F66-'计划购电量'!B66</x:f>
        <x:v>0</x:v>
      </x:c>
      <x:c r="E66" s="27" t="n">
        <x:f>'计划购电量'!G66-'计划购电量'!B66</x:f>
        <x:v>0</x:v>
      </x:c>
      <x:c r="F66" s="27" t="n">
        <x:f>'计划购电量'!H66-'计划购电量'!B66</x:f>
        <x:v>50.78826588441008</x:v>
      </x:c>
      <x:c r="G66" s="27" t="n">
        <x:f>'计划购电量'!I66-'计划购电量'!B66</x:f>
        <x:v>0</x:v>
      </x:c>
      <x:c r="H66" s="27" t="n">
        <x:f>'计划购电量'!J66-'计划购电量'!B66</x:f>
        <x:v>0</x:v>
      </x:c>
      <x:c r="I66" s="27" t="n">
        <x:f>'计划购电量'!K66-'计划购电量'!B66</x:f>
        <x:v>0</x:v>
      </x:c>
      <x:c r="J66" s="27" t="n">
        <x:f>'计划购电量'!L66-'计划购电量'!B66</x:f>
        <x:v>0</x:v>
      </x:c>
      <x:c r="K66" s="27" t="n">
        <x:f>'计划购电量'!M66-'计划购电量'!B66</x:f>
        <x:v>0</x:v>
      </x:c>
      <x:c r="L66" s="27" t="n">
        <x:f>'计划购电量'!N66-'计划购电量'!B66</x:f>
        <x:v>0</x:v>
      </x:c>
      <x:c r="M66" s="27" t="n">
        <x:f>'计划购电量'!O66-'计划购电量'!B66</x:f>
        <x:v>0</x:v>
      </x:c>
      <x:c r="N66" s="27" t="n">
        <x:f>'计划购电量'!P66-'计划购电量'!B66</x:f>
        <x:v>0</x:v>
      </x:c>
      <x:c r="O66" s="27" t="n">
        <x:f>'计划购电量'!Q66-'计划购电量'!B66</x:f>
        <x:v>0</x:v>
      </x:c>
      <x:c r="P66" s="27" t="n">
        <x:f>'计划购电量'!R66-'计划购电量'!B66</x:f>
        <x:v>0</x:v>
      </x:c>
    </x:row>
    <x:row r="67" ht="25" customHeight="1">
      <x:c r="A67" s="27" t="str">
        <x:f>'计划购电量'!A67</x:f>
        <x:v>10:50-11:00</x:v>
      </x:c>
      <x:c r="B67" s="27" t="n">
        <x:f>'计划购电量'!D67-'计划购电量'!B67</x:f>
        <x:v>103.17394390045413</x:v>
      </x:c>
      <x:c r="C67" s="27" t="n">
        <x:f>'计划购电量'!E67-'计划购电量'!B67</x:f>
        <x:v>1.0005865678884522</x:v>
      </x:c>
      <x:c r="D67" s="27" t="n">
        <x:f>'计划购电量'!F67-'计划购电量'!B67</x:f>
        <x:v>148.06353333333314</x:v>
      </x:c>
      <x:c r="E67" s="27" t="n">
        <x:f>'计划购电量'!G67-'计划购电量'!B67</x:f>
        <x:v>148.06353333333314</x:v>
      </x:c>
      <x:c r="F67" s="27" t="n">
        <x:f>'计划购电量'!H67-'计划购电量'!B67</x:f>
        <x:v>115.51846588440988</x:v>
      </x:c>
      <x:c r="G67" s="27" t="n">
        <x:f>'计划购电量'!I67-'计划购电量'!B67</x:f>
        <x:v>0</x:v>
      </x:c>
      <x:c r="H67" s="27" t="n">
        <x:f>'计划购电量'!J67-'计划购电量'!B67</x:f>
        <x:v>41.979631118261736</x:v>
      </x:c>
      <x:c r="I67" s="27" t="n">
        <x:f>'计划购电量'!K67-'计划购电量'!B67</x:f>
        <x:v>136.76669825103923</x:v>
      </x:c>
      <x:c r="J67" s="27" t="n">
        <x:f>'计划购电量'!L67-'计划购电量'!B67</x:f>
        <x:v>41.048383346104586</x:v>
      </x:c>
      <x:c r="K67" s="27" t="n">
        <x:f>'计划购电量'!M67-'计划购电量'!B67</x:f>
        <x:v>134.19554862422746</x:v>
      </x:c>
      <x:c r="L67" s="27" t="n">
        <x:f>'计划购电量'!N67-'计划购电量'!B67</x:f>
        <x:v>0</x:v>
      </x:c>
      <x:c r="M67" s="27" t="n">
        <x:f>'计划购电量'!O67-'计划购电量'!B67</x:f>
        <x:v>0</x:v>
      </x:c>
      <x:c r="N67" s="27" t="n">
        <x:f>'计划购电量'!P67-'计划购电量'!B67</x:f>
        <x:v>0</x:v>
      </x:c>
      <x:c r="O67" s="27" t="n">
        <x:f>'计划购电量'!Q67-'计划购电量'!B67</x:f>
        <x:v>0</x:v>
      </x:c>
      <x:c r="P67" s="27" t="n">
        <x:f>'计划购电量'!R67-'计划购电量'!B67</x:f>
        <x:v>0</x:v>
      </x:c>
    </x:row>
    <x:row r="68" ht="25" customHeight="1">
      <x:c r="A68" s="27" t="str">
        <x:f>'计划购电量'!A68</x:f>
        <x:v>11:00-11:10</x:v>
      </x:c>
      <x:c r="B68" s="27" t="n">
        <x:f>'计划购电量'!D68-'计划购电量'!B68</x:f>
        <x:v>103.30469268065357</x:v>
      </x:c>
      <x:c r="C68" s="27" t="n">
        <x:f>'计划购电量'!E68-'计划购电量'!B68</x:f>
        <x:v>1.1313353480878732</x:v>
      </x:c>
      <x:c r="D68" s="27" t="n">
        <x:f>'计划购电量'!F68-'计划购电量'!B68</x:f>
        <x:v>148.19428211353255</x:v>
      </x:c>
      <x:c r="E68" s="27" t="n">
        <x:f>'计划购电量'!G68-'计划购电量'!B68</x:f>
        <x:v>148.19428211353255</x:v>
      </x:c>
      <x:c r="F68" s="27" t="n">
        <x:f>'计划购电量'!H68-'计划购电量'!B68</x:f>
        <x:v>32.31588133127599</x:v>
      </x:c>
      <x:c r="G68" s="27" t="n">
        <x:f>'计划购电量'!I68-'计划购电量'!B68</x:f>
        <x:v>-137.91363455313393</x:v>
      </x:c>
      <x:c r="H68" s="27" t="n">
        <x:f>'计划购电量'!J68-'计划购电量'!B68</x:f>
        <x:v>42.11037989846119</x:v>
      </x:c>
      <x:c r="I68" s="27" t="n">
        <x:f>'计划购电量'!K68-'计划购电量'!B68</x:f>
        <x:v>136.89744703123864</x:v>
      </x:c>
      <x:c r="J68" s="27" t="n">
        <x:f>'计划购电量'!L68-'计划购电量'!B68</x:f>
        <x:v>41.179132126303784</x:v>
      </x:c>
      <x:c r="K68" s="27" t="n">
        <x:f>'计划购电量'!M68-'计划购电量'!B68</x:f>
        <x:v>134.3262974044269</x:v>
      </x:c>
      <x:c r="L68" s="27" t="n">
        <x:f>'计划购电量'!N68-'计划购电量'!B68</x:f>
        <x:v>-0.6864114500955623</x:v>
      </x:c>
      <x:c r="M68" s="27" t="n">
        <x:f>'计划购电量'!O68-'计划购电量'!B68</x:f>
        <x:v>0.08281634602246868</x:v>
      </x:c>
      <x:c r="N68" s="27" t="n">
        <x:f>'计划购电量'!P68-'计划购电量'!B68</x:f>
        <x:v>-9.696230497423528</x:v>
      </x:c>
      <x:c r="O68" s="27" t="n">
        <x:f>'计划购电量'!Q68-'计划购电量'!B68</x:f>
        <x:v>-24.963838010049002</x:v>
      </x:c>
      <x:c r="P68" s="27" t="n">
        <x:f>'计划购电量'!R68-'计划购电量'!B68</x:f>
        <x:v>-29.500724816851317</x:v>
      </x:c>
    </x:row>
    <x:row r="69" ht="25" customHeight="1">
      <x:c r="A69" s="27" t="str">
        <x:f>'计划购电量'!A69</x:f>
        <x:v>11:10-11:20</x:v>
      </x:c>
      <x:c r="B69" s="27" t="n">
        <x:f>'计划购电量'!D69-'计划购电量'!B69</x:f>
        <x:v>-63.36197398601308</x:v>
      </x:c>
      <x:c r="C69" s="27" t="n">
        <x:f>'计划购电量'!E69-'计划购电量'!B69</x:f>
        <x:v>1.1313353480878732</x:v>
      </x:c>
      <x:c r="D69" s="27" t="n">
        <x:f>'计划购电量'!F69-'计划购电量'!B69</x:f>
        <x:v>271.5640047113494</x:v>
      </x:c>
      <x:c r="E69" s="27" t="n">
        <x:f>'计划购电量'!G69-'计划购电量'!B69</x:f>
        <x:v>181.32459134355122</x:v>
      </x:c>
      <x:c r="F69" s="27" t="n">
        <x:f>'计划购电量'!H69-'计划购电量'!B69</x:f>
        <x:v>115.6492146646093</x:v>
      </x:c>
      <x:c r="G69" s="27" t="n">
        <x:f>'计划购电量'!I69-'计划购电量'!B69</x:f>
        <x:v>-137.91363455313393</x:v>
      </x:c>
      <x:c r="H69" s="27" t="n">
        <x:f>'计划购电量'!J69-'计划购电量'!B69</x:f>
        <x:v>42.11037989846119</x:v>
      </x:c>
      <x:c r="I69" s="27" t="n">
        <x:f>'计划购电量'!K69-'计划购电量'!B69</x:f>
        <x:v>136.89744703123864</x:v>
      </x:c>
      <x:c r="J69" s="27" t="n">
        <x:f>'计划购电量'!L69-'计划购电量'!B69</x:f>
        <x:v>41.179132126303784</x:v>
      </x:c>
      <x:c r="K69" s="27" t="n">
        <x:f>'计划购电量'!M69-'计划购电量'!B69</x:f>
        <x:v>134.3262974044269</x:v>
      </x:c>
      <x:c r="L69" s="27" t="n">
        <x:f>'计划购电量'!N69-'计划购电量'!B69</x:f>
        <x:v>-0.6864114500955623</x:v>
      </x:c>
      <x:c r="M69" s="27" t="n">
        <x:f>'计划购电量'!O69-'计划购电量'!B69</x:f>
        <x:v>0.08281634602246868</x:v>
      </x:c>
      <x:c r="N69" s="27" t="n">
        <x:f>'计划购电量'!P69-'计划购电量'!B69</x:f>
        <x:v>-9.696230497423528</x:v>
      </x:c>
      <x:c r="O69" s="27" t="n">
        <x:f>'计划购电量'!Q69-'计划购电量'!B69</x:f>
        <x:v>-24.963838010049002</x:v>
      </x:c>
      <x:c r="P69" s="27" t="n">
        <x:f>'计划购电量'!R69-'计划购电量'!B69</x:f>
        <x:v>-53.31176110471114</x:v>
      </x:c>
    </x:row>
    <x:row r="70" ht="25" customHeight="1">
      <x:c r="A70" s="27" t="str">
        <x:f>'计划购电量'!A70</x:f>
        <x:v>11:20-11:30</x:v>
      </x:c>
      <x:c r="B70" s="27" t="n">
        <x:f>'计划购电量'!D70-'计划购电量'!B70</x:f>
        <x:v>-63.36197398601314</x:v>
      </x:c>
      <x:c r="C70" s="27" t="n">
        <x:f>'计划购电量'!E70-'计划购电量'!B70</x:f>
        <x:v>1.1313353480878163</x:v>
      </x:c>
      <x:c r="D70" s="27" t="n">
        <x:f>'计划购电量'!F70-'计划购电量'!B70</x:f>
        <x:v>104.89733804468267</x:v>
      </x:c>
      <x:c r="E70" s="27" t="n">
        <x:f>'计划购电量'!G70-'计划购电量'!B70</x:f>
        <x:v>14.657924676884477</x:v>
      </x:c>
      <x:c r="F70" s="27" t="n">
        <x:f>'计划购电量'!H70-'计划购电量'!B70</x:f>
        <x:v>32.31588133127593</x:v>
      </x:c>
      <x:c r="G70" s="27" t="n">
        <x:f>'计划购电量'!I70-'计划购电量'!B70</x:f>
        <x:v>-292.89085121980065</x:v>
      </x:c>
      <x:c r="H70" s="27" t="n">
        <x:f>'计划购电量'!J70-'计划购电量'!B70</x:f>
        <x:v>42.11037989846113</x:v>
      </x:c>
      <x:c r="I70" s="27" t="n">
        <x:f>'计划购电量'!K70-'计划购电量'!B70</x:f>
        <x:v>136.89744703123858</x:v>
      </x:c>
      <x:c r="J70" s="27" t="n">
        <x:f>'计划购电量'!L70-'计划购电量'!B70</x:f>
        <x:v>41.179132126303955</x:v>
      </x:c>
      <x:c r="K70" s="27" t="n">
        <x:f>'计划购电量'!M70-'计划购电量'!B70</x:f>
        <x:v>134.32629740442678</x:v>
      </x:c>
      <x:c r="L70" s="27" t="n">
        <x:f>'计划购电量'!N70-'计划购电量'!B70</x:f>
        <x:v>-0.6864114500956475</x:v>
      </x:c>
      <x:c r="M70" s="27" t="n">
        <x:f>'计划购电量'!O70-'计划购电量'!B70</x:f>
        <x:v>0.08281634602241184</x:v>
      </x:c>
      <x:c r="N70" s="27" t="n">
        <x:f>'计划购电量'!P70-'计划购电量'!B70</x:f>
        <x:v>-9.696230497423528</x:v>
      </x:c>
      <x:c r="O70" s="27" t="n">
        <x:f>'计划购电量'!Q70-'计划购电量'!B70</x:f>
        <x:v>-24.963838010049017</x:v>
      </x:c>
      <x:c r="P70" s="27" t="n">
        <x:f>'计划购电量'!R70-'计划购电量'!B70</x:f>
        <x:v>-53.311761104711195</x:v>
      </x:c>
    </x:row>
    <x:row r="71" ht="25" customHeight="1">
      <x:c r="A71" s="27" t="str">
        <x:f>'计划购电量'!A71</x:f>
        <x:v>11:30-11:40</x:v>
      </x:c>
      <x:c r="B71" s="27" t="n">
        <x:f>'计划购电量'!D71-'计划购电量'!B71</x:f>
        <x:v>-63.3619739860132</x:v>
      </x:c>
      <x:c r="C71" s="27" t="n">
        <x:f>'计划购电量'!E71-'计划购电量'!B71</x:f>
        <x:v>1.1313353480878163</x:v>
      </x:c>
      <x:c r="D71" s="27" t="n">
        <x:f>'计划购电量'!F71-'计划购电量'!B71</x:f>
        <x:v>-61.76932862198396</x:v>
      </x:c>
      <x:c r="E71" s="27" t="n">
        <x:f>'计划购电量'!G71-'计划购电量'!B71</x:f>
        <x:v>-152.00874198978215</x:v>
      </x:c>
      <x:c r="F71" s="27" t="n">
        <x:f>'计划购电量'!H71-'计划购电量'!B71</x:f>
        <x:v>-51.01745200205744</x:v>
      </x:c>
      <x:c r="G71" s="27" t="n">
        <x:f>'计划购电量'!I71-'计划购电量'!B71</x:f>
        <x:v>-141.40884378867395</x:v>
      </x:c>
      <x:c r="H71" s="27" t="n">
        <x:f>'计划购电量'!J71-'计划购电量'!B71</x:f>
        <x:v>29.436441847794697</x:v>
      </x:c>
      <x:c r="I71" s="27" t="n">
        <x:f>'计划购电量'!K71-'计划购电量'!B71</x:f>
        <x:v>-29.769219635428044</x:v>
      </x:c>
      <x:c r="J71" s="27" t="n">
        <x:f>'计划购电量'!L71-'计划购电量'!B71</x:f>
        <x:v>30.18144005667375</x:v>
      </x:c>
      <x:c r="K71" s="27" t="n">
        <x:f>'计划购电量'!M71-'计划购电量'!B71</x:f>
        <x:v>-19.97668293550703</x:v>
      </x:c>
      <x:c r="L71" s="27" t="n">
        <x:f>'计划购电量'!N71-'计划购电量'!B71</x:f>
        <x:v>-0.6864114500956475</x:v>
      </x:c>
      <x:c r="M71" s="27" t="n">
        <x:f>'计划购电量'!O71-'计划购电量'!B71</x:f>
        <x:v>0.08281634602241184</x:v>
      </x:c>
      <x:c r="N71" s="27" t="n">
        <x:f>'计划购电量'!P71-'计划购电量'!B71</x:f>
        <x:v>-9.696230497423528</x:v>
      </x:c>
      <x:c r="O71" s="27" t="n">
        <x:f>'计划购电量'!Q71-'计划购电量'!B71</x:f>
        <x:v>-24.963838010049074</x:v>
      </x:c>
      <x:c r="P71" s="27" t="n">
        <x:f>'计划购电量'!R71-'计划购电量'!B71</x:f>
        <x:v>-53.311761104711195</x:v>
      </x:c>
    </x:row>
    <x:row r="72" ht="25" customHeight="1">
      <x:c r="A72" s="27" t="str">
        <x:f>'计划购电量'!A72</x:f>
        <x:v>11:40-11:50</x:v>
      </x:c>
      <x:c r="B72" s="27" t="n">
        <x:f>'计划购电量'!D72-'计划购电量'!B72</x:f>
        <x:v>-9.322320693172514e-12</x:v>
      </x:c>
      <x:c r="C72" s="27" t="n">
        <x:f>'计划购电量'!E72-'计划购电量'!B72</x:f>
        <x:v>0</x:v>
      </x:c>
      <x:c r="D72" s="27" t="n">
        <x:f>'计划购电量'!F72-'计划购电量'!B72</x:f>
        <x:v>-151.22416073551676</x:v>
      </x:c>
      <x:c r="E72" s="27" t="n">
        <x:f>'计划购电量'!G72-'计划购电量'!B72</x:f>
        <x:v>-241.46357410331495</x:v>
      </x:c>
      <x:c r="F72" s="27" t="n">
        <x:f>'计划购电量'!H72-'计划购电量'!B72</x:f>
        <x:v>-81.46484549691212</x:v>
      </x:c>
      <x:c r="G72" s="27" t="n">
        <x:f>'计划购电量'!I72-'计划购电量'!B72</x:f>
        <x:v>0</x:v>
      </x:c>
      <x:c r="H72" s="27" t="n">
        <x:f>'计划购电量'!J72-'计划购电量'!B72</x:f>
        <x:v>-60.018390265738105</x:v>
      </x:c>
      <x:c r="I72" s="27" t="n">
        <x:f>'计划购电量'!K72-'计划购电量'!B72</x:f>
        <x:v>-119.22405174896085</x:v>
      </x:c>
      <x:c r="J72" s="27" t="n">
        <x:f>'计划购电量'!L72-'计划购电量'!B72</x:f>
        <x:v>-59.27339205685905</x:v>
      </x:c>
      <x:c r="K72" s="27" t="n">
        <x:f>'计划购电量'!M72-'计划购电量'!B72</x:f>
        <x:v>-109.43151504903983</x:v>
      </x:c>
      <x:c r="L72" s="27" t="n">
        <x:f>'计划购电量'!N72-'计划购电量'!B72</x:f>
        <x:v>-4.547473508864641e-13</x:v>
      </x:c>
      <x:c r="M72" s="27" t="n">
        <x:f>'计划购电量'!O72-'计划购电量'!B72</x:f>
        <x:v>-0.0371471327313202</x:v>
      </x:c>
      <x:c r="N72" s="27" t="n">
        <x:f>'计划购电量'!P72-'计划购电量'!B72</x:f>
        <x:v>0</x:v>
      </x:c>
      <x:c r="O72" s="27" t="n">
        <x:f>'计划购电量'!Q72-'计划购电量'!B72</x:f>
        <x:v>0</x:v>
      </x:c>
      <x:c r="P72" s="27" t="n">
        <x:f>'计划购电量'!R72-'计划购电量'!B72</x:f>
        <x:v>-2.2737367544323206e-13</x:v>
      </x:c>
    </x:row>
    <x:row r="73" ht="25" customHeight="1">
      <x:c r="A73" s="27" t="str">
        <x:f>'计划购电量'!A73</x:f>
        <x:v>11:50-12:00</x:v>
      </x:c>
      <x:c r="B73" s="27" t="n">
        <x:f>'计划购电量'!D73-'计划购电量'!B73</x:f>
        <x:v>-9.663381206337363e-12</x:v>
      </x:c>
      <x:c r="C73" s="27" t="n">
        <x:f>'计划购电量'!E73-'计划购电量'!B73</x:f>
        <x:v>-3.410605131648481e-13</x:v>
      </x:c>
      <x:c r="D73" s="27" t="n">
        <x:f>'计划购电量'!F73-'计划购电量'!B73</x:f>
        <x:v>-151.22416073551676</x:v>
      </x:c>
      <x:c r="E73" s="27" t="n">
        <x:f>'计划购电量'!G73-'计划购电量'!B73</x:f>
        <x:v>-241.46357410331495</x:v>
      </x:c>
      <x:c r="F73" s="27" t="n">
        <x:f>'计划购电量'!H73-'计划购电量'!B73</x:f>
        <x:v>-81.46484549691212</x:v>
      </x:c>
      <x:c r="G73" s="27" t="n">
        <x:f>'计划购电量'!I73-'计划购电量'!B73</x:f>
        <x:v>-3.410605131648481e-13</x:v>
      </x:c>
      <x:c r="H73" s="27" t="n">
        <x:f>'计划购电量'!J73-'计划购电量'!B73</x:f>
        <x:v>-60.018390265738105</x:v>
      </x:c>
      <x:c r="I73" s="27" t="n">
        <x:f>'计划购电量'!K73-'计划购电量'!B73</x:f>
        <x:v>-119.22405174896085</x:v>
      </x:c>
      <x:c r="J73" s="27" t="n">
        <x:f>'计划购电量'!L73-'计划购电量'!B73</x:f>
        <x:v>-59.27339205685905</x:v>
      </x:c>
      <x:c r="K73" s="27" t="n">
        <x:f>'计划购电量'!M73-'计划购电量'!B73</x:f>
        <x:v>-109.43151504903983</x:v>
      </x:c>
      <x:c r="L73" s="27" t="n">
        <x:f>'计划购电量'!N73-'计划购电量'!B73</x:f>
        <x:v>-3.979039320256561e-13</x:v>
      </x:c>
      <x:c r="M73" s="27" t="n">
        <x:f>'计划购电量'!O73-'计划购电量'!B73</x:f>
        <x:v>-0.0371471327313202</x:v>
      </x:c>
      <x:c r="N73" s="27" t="n">
        <x:f>'计划购电量'!P73-'计划购电量'!B73</x:f>
        <x:v>-3.410605131648481e-13</x:v>
      </x:c>
      <x:c r="O73" s="27" t="n">
        <x:f>'计划购电量'!Q73-'计划购电量'!B73</x:f>
        <x:v>-3.410605131648481e-13</x:v>
      </x:c>
      <x:c r="P73" s="27" t="n">
        <x:f>'计划购电量'!R73-'计划购电量'!B73</x:f>
        <x:v>-1.7053025658242404e-13</x:v>
      </x:c>
    </x:row>
    <x:row r="74" ht="25" customHeight="1">
      <x:c r="A74" s="27" t="str">
        <x:f>'计划购电量'!A74</x:f>
        <x:v>12:00-12:10</x:v>
      </x:c>
      <x:c r="B74" s="27" t="n">
        <x:f>'计划购电量'!D74-'计划购电量'!B74</x:f>
        <x:v>5.684341886080802e-14</x:v>
      </x:c>
      <x:c r="C74" s="27" t="n">
        <x:f>'计划购电量'!E74-'计划购电量'!B74</x:f>
        <x:v>0</x:v>
      </x:c>
      <x:c r="D74" s="27" t="n">
        <x:f>'计划购电量'!F74-'计划购电量'!B74</x:f>
        <x:v>-151.22416073551648</x:v>
      </x:c>
      <x:c r="E74" s="27" t="n">
        <x:f>'计划购电量'!G74-'计划购电量'!B74</x:f>
        <x:v>-241.46357410331467</x:v>
      </x:c>
      <x:c r="F74" s="27" t="n">
        <x:f>'计划购电量'!H74-'计划购电量'!B74</x:f>
        <x:v>-90.82578333333322</x:v>
      </x:c>
      <x:c r="G74" s="27" t="n">
        <x:f>'计划购电量'!I74-'计划购电量'!B74</x:f>
        <x:v>0</x:v>
      </x:c>
      <x:c r="H74" s="27" t="n">
        <x:f>'计划购电量'!J74-'计划购电量'!B74</x:f>
        <x:v>-60.01839026573782</x:v>
      </x:c>
      <x:c r="I74" s="27" t="n">
        <x:f>'计划购电量'!K74-'计划购电量'!B74</x:f>
        <x:v>-119.22405174896056</x:v>
      </x:c>
      <x:c r="J74" s="27" t="n">
        <x:f>'计划购电量'!L74-'计划购电量'!B74</x:f>
        <x:v>-59.27339205685871</x:v>
      </x:c>
      <x:c r="K74" s="27" t="n">
        <x:f>'计划购电量'!M74-'计划购电量'!B74</x:f>
        <x:v>-109.43151504903949</x:v>
      </x:c>
      <x:c r="L74" s="27" t="n">
        <x:f>'计划购电量'!N74-'计划购电量'!B74</x:f>
        <x:v>-1.1368683772161603e-13</x:v>
      </x:c>
      <x:c r="M74" s="27" t="n">
        <x:f>'计划购电量'!O74-'计划购电量'!B74</x:f>
        <x:v>-0.03714713273097914</x:v>
      </x:c>
      <x:c r="N74" s="27" t="n">
        <x:f>'计划购电量'!P74-'计划购电量'!B74</x:f>
        <x:v>0</x:v>
      </x:c>
      <x:c r="O74" s="27" t="n">
        <x:f>'计划购电量'!Q74-'计划购电量'!B74</x:f>
        <x:v>0</x:v>
      </x:c>
      <x:c r="P74" s="27" t="n">
        <x:f>'计划购电量'!R74-'计划购电量'!B74</x:f>
        <x:v>1.1368683772161603e-13</x:v>
      </x:c>
    </x:row>
    <x:row r="75" ht="25" customHeight="1">
      <x:c r="A75" s="27" t="str">
        <x:f>'计划购电量'!A75</x:f>
        <x:v>12:10-12:20</x:v>
      </x:c>
      <x:c r="B75" s="27" t="n">
        <x:f>'计划购电量'!D75-'计划购电量'!B75</x:f>
        <x:v>6.536993168992922e-12</x:v>
      </x:c>
      <x:c r="C75" s="27" t="n">
        <x:f>'计划购电量'!E75-'计划购电量'!B75</x:f>
        <x:v>0</x:v>
      </x:c>
      <x:c r="D75" s="27" t="n">
        <x:f>'计划购电量'!F75-'计划购电量'!B75</x:f>
        <x:v>-151.22416073551642</x:v>
      </x:c>
      <x:c r="E75" s="27" t="n">
        <x:f>'计划购电量'!G75-'计划购电量'!B75</x:f>
        <x:v>-241.4635741033146</x:v>
      </x:c>
      <x:c r="F75" s="27" t="n">
        <x:f>'计划购电量'!H75-'计划购电量'!B75</x:f>
        <x:v>-174.15911666666653</x:v>
      </x:c>
      <x:c r="G75" s="27" t="n">
        <x:f>'计划购电量'!I75-'计划购电量'!B75</x:f>
        <x:v>0</x:v>
      </x:c>
      <x:c r="H75" s="27" t="n">
        <x:f>'计划购电量'!J75-'计划购电量'!B75</x:f>
        <x:v>-60.018390265737764</x:v>
      </x:c>
      <x:c r="I75" s="27" t="n">
        <x:f>'计划购电量'!K75-'计划购电量'!B75</x:f>
        <x:v>-119.2240517489605</x:v>
      </x:c>
      <x:c r="J75" s="27" t="n">
        <x:f>'计划购电量'!L75-'计划购电量'!B75</x:f>
        <x:v>-59.27339205685871</x:v>
      </x:c>
      <x:c r="K75" s="27" t="n">
        <x:f>'计划购电量'!M75-'计划购电量'!B75</x:f>
        <x:v>-109.43151504903949</x:v>
      </x:c>
      <x:c r="L75" s="27" t="n">
        <x:f>'计划购电量'!N75-'计划购电量'!B75</x:f>
        <x:v>-5.684341886080802e-14</x:v>
      </x:c>
      <x:c r="M75" s="27" t="n">
        <x:f>'计划购电量'!O75-'计划购电量'!B75</x:f>
        <x:v>-0.03714713273097914</x:v>
      </x:c>
      <x:c r="N75" s="27" t="n">
        <x:f>'计划购电量'!P75-'计划购电量'!B75</x:f>
        <x:v>0</x:v>
      </x:c>
      <x:c r="O75" s="27" t="n">
        <x:f>'计划购电量'!Q75-'计划购电量'!B75</x:f>
        <x:v>0</x:v>
      </x:c>
      <x:c r="P75" s="27" t="n">
        <x:f>'计划购电量'!R75-'计划购电量'!B75</x:f>
        <x:v>1.7053025658242404e-13</x:v>
      </x:c>
    </x:row>
    <x:row r="76" ht="25" customHeight="1">
      <x:c r="A76" s="27" t="str">
        <x:f>'计划购电量'!A76</x:f>
        <x:v>12:20-12:30</x:v>
      </x:c>
      <x:c r="B76" s="27" t="n">
        <x:f>'计划购电量'!D76-'计划购电量'!B76</x:f>
        <x:v>0</x:v>
      </x:c>
      <x:c r="C76" s="27" t="n">
        <x:f>'计划购电量'!E76-'计划购电量'!B76</x:f>
        <x:v>0</x:v>
      </x:c>
      <x:c r="D76" s="27" t="n">
        <x:f>'计划购电量'!F76-'计划购电量'!B76</x:f>
        <x:v>-82.39801073551655</x:v>
      </x:c>
      <x:c r="E76" s="27" t="n">
        <x:f>'计划购电量'!G76-'计划购电量'!B76</x:f>
        <x:v>-172.63742410331474</x:v>
      </x:c>
      <x:c r="F76" s="27" t="n">
        <x:f>'计划购电量'!H76-'计划购电量'!B76</x:f>
        <x:v>-188.66629999999998</x:v>
      </x:c>
      <x:c r="G76" s="27" t="n">
        <x:f>'计划购电量'!I76-'计划购电量'!B76</x:f>
        <x:v>68.82614999999976</x:v>
      </x:c>
      <x:c r="H76" s="27" t="n">
        <x:f>'计划购电量'!J76-'计划购电量'!B76</x:f>
        <x:v>0</x:v>
      </x:c>
      <x:c r="I76" s="27" t="n">
        <x:f>'计划购电量'!K76-'计划购电量'!B76</x:f>
        <x:v>-50.397901748960635</x:v>
      </x:c>
      <x:c r="J76" s="27" t="n">
        <x:f>'计划购电量'!L76-'计划购电量'!B76</x:f>
        <x:v>0</x:v>
      </x:c>
      <x:c r="K76" s="27" t="n">
        <x:f>'计划购电量'!M76-'计划购电量'!B76</x:f>
        <x:v>-40.60536504903962</x:v>
      </x:c>
      <x:c r="L76" s="27" t="n">
        <x:f>'计划购电量'!N76-'计划购电量'!B76</x:f>
        <x:v>0</x:v>
      </x:c>
      <x:c r="M76" s="27" t="n">
        <x:f>'计划购电量'!O76-'计划购电量'!B76</x:f>
        <x:v>0</x:v>
      </x:c>
      <x:c r="N76" s="27" t="n">
        <x:f>'计划购电量'!P76-'计划购电量'!B76</x:f>
        <x:v>0</x:v>
      </x:c>
      <x:c r="O76" s="27" t="n">
        <x:f>'计划购电量'!Q76-'计划购电量'!B76</x:f>
        <x:v>0</x:v>
      </x:c>
      <x:c r="P76" s="27" t="n">
        <x:f>'计划购电量'!R76-'计划购电量'!B76</x:f>
        <x:v>0</x:v>
      </x:c>
    </x:row>
    <x:row r="77" ht="25" customHeight="1">
      <x:c r="A77" s="27" t="str">
        <x:f>'计划购电量'!A77</x:f>
        <x:v>12:30-12:40</x:v>
      </x:c>
      <x:c r="B77" s="27" t="n">
        <x:f>'计划购电量'!D77-'计划购电量'!B77</x:f>
        <x:v>0</x:v>
      </x:c>
      <x:c r="C77" s="27" t="n">
        <x:f>'计划购电量'!E77-'计划购电量'!B77</x:f>
        <x:v>0</x:v>
      </x:c>
      <x:c r="D77" s="27" t="n">
        <x:f>'计划购电量'!F77-'计划购电量'!B77</x:f>
        <x:v>0</x:v>
      </x:c>
      <x:c r="E77" s="27" t="n">
        <x:f>'计划购电量'!G77-'计划购电量'!B77</x:f>
        <x:v>-5.970757436648114</x:v>
      </x:c>
      <x:c r="F77" s="27" t="n">
        <x:f>'计划购电量'!H77-'计划购电量'!B77</x:f>
        <x:v>-105.33296666666666</x:v>
      </x:c>
      <x:c r="G77" s="27" t="n">
        <x:f>'计划购电量'!I77-'计划购电量'!B77</x:f>
        <x:v>40.04458333333332</x:v>
      </x:c>
      <x:c r="H77" s="27" t="n">
        <x:f>'计划购电量'!J77-'计划购电量'!B77</x:f>
        <x:v>0</x:v>
      </x:c>
      <x:c r="I77" s="27" t="n">
        <x:f>'计划购电量'!K77-'计划购电量'!B77</x:f>
        <x:v>-16.378620707061486</x:v>
      </x:c>
      <x:c r="J77" s="27" t="n">
        <x:f>'计划购电量'!L77-'计划购电量'!B77</x:f>
        <x:v>0</x:v>
      </x:c>
      <x:c r="K77" s="27" t="n">
        <x:f>'计划购电量'!M77-'计划购电量'!B77</x:f>
        <x:v>-40.60536504903959</x:v>
      </x:c>
      <x:c r="L77" s="27" t="n">
        <x:f>'计划购电量'!N77-'计划购电量'!B77</x:f>
        <x:v>0</x:v>
      </x:c>
      <x:c r="M77" s="27" t="n">
        <x:f>'计划购电量'!O77-'计划购电量'!B77</x:f>
        <x:v>0</x:v>
      </x:c>
      <x:c r="N77" s="27" t="n">
        <x:f>'计划购电量'!P77-'计划购电量'!B77</x:f>
        <x:v>0</x:v>
      </x:c>
      <x:c r="O77" s="27" t="n">
        <x:f>'计划购电量'!Q77-'计划购电量'!B77</x:f>
        <x:v>0</x:v>
      </x:c>
      <x:c r="P77" s="27" t="n">
        <x:f>'计划购电量'!R77-'计划购电量'!B77</x:f>
        <x:v>0</x:v>
      </x:c>
    </x:row>
    <x:row r="78" ht="25" customHeight="1">
      <x:c r="A78" s="27" t="str">
        <x:f>'计划购电量'!A78</x:f>
        <x:v>12:40-12:50</x:v>
      </x:c>
      <x:c r="B78" s="27" t="n">
        <x:f>'计划购电量'!D78-'计划购电量'!B78</x:f>
        <x:v>0</x:v>
      </x:c>
      <x:c r="C78" s="27" t="n">
        <x:f>'计划购电量'!E78-'计划购电量'!B78</x:f>
        <x:v>0</x:v>
      </x:c>
      <x:c r="D78" s="27" t="n">
        <x:f>'计划购电量'!F78-'计划购电量'!B78</x:f>
        <x:v>0</x:v>
      </x:c>
      <x:c r="E78" s="27" t="n">
        <x:f>'计划购电量'!G78-'计划购电量'!B78</x:f>
        <x:v>-5.970757436648114</x:v>
      </x:c>
      <x:c r="F78" s="27" t="n">
        <x:f>'计划购电量'!H78-'计划购电量'!B78</x:f>
        <x:v>-21.99963333333335</x:v>
      </x:c>
      <x:c r="G78" s="27" t="n">
        <x:f>'计划购电量'!I78-'计划购电量'!B78</x:f>
        <x:v>-126.62208333333334</x:v>
      </x:c>
      <x:c r="H78" s="27" t="n">
        <x:f>'计划购电量'!J78-'计划购电量'!B78</x:f>
        <x:v>0</x:v>
      </x:c>
      <x:c r="I78" s="27" t="n">
        <x:f>'计划购电量'!K78-'计划购电量'!B78</x:f>
        <x:v>-16.3786207070615</x:v>
      </x:c>
      <x:c r="J78" s="27" t="n">
        <x:f>'计划购电量'!L78-'计划购电量'!B78</x:f>
        <x:v>0</x:v>
      </x:c>
      <x:c r="K78" s="27" t="n">
        <x:f>'计划购电量'!M78-'计划购电量'!B78</x:f>
        <x:v>-40.60536504903962</x:v>
      </x:c>
      <x:c r="L78" s="27" t="n">
        <x:f>'计划购电量'!N78-'计划购电量'!B78</x:f>
        <x:v>0</x:v>
      </x:c>
      <x:c r="M78" s="27" t="n">
        <x:f>'计划购电量'!O78-'计划购电量'!B78</x:f>
        <x:v>0</x:v>
      </x:c>
      <x:c r="N78" s="27" t="n">
        <x:f>'计划购电量'!P78-'计划购电量'!B78</x:f>
        <x:v>0</x:v>
      </x:c>
      <x:c r="O78" s="27" t="n">
        <x:f>'计划购电量'!Q78-'计划购电量'!B78</x:f>
        <x:v>0</x:v>
      </x:c>
      <x:c r="P78" s="27" t="n">
        <x:f>'计划购电量'!R78-'计划购电量'!B78</x:f>
        <x:v>0</x:v>
      </x:c>
    </x:row>
    <x:row r="79" ht="25" customHeight="1">
      <x:c r="A79" s="27" t="str">
        <x:f>'计划购电量'!A79</x:f>
        <x:v>12:50-13:00</x:v>
      </x:c>
      <x:c r="B79" s="27" t="n">
        <x:f>'计划购电量'!D79-'计划购电量'!B79</x:f>
        <x:v>0</x:v>
      </x:c>
      <x:c r="C79" s="27" t="n">
        <x:f>'计划购电量'!E79-'计划购电量'!B79</x:f>
        <x:v>0</x:v>
      </x:c>
      <x:c r="D79" s="27" t="n">
        <x:f>'计划购电量'!F79-'计划购电量'!B79</x:f>
        <x:v>0</x:v>
      </x:c>
      <x:c r="E79" s="27" t="n">
        <x:f>'计划购电量'!G79-'计划购电量'!B79</x:f>
        <x:v>0</x:v>
      </x:c>
      <x:c r="F79" s="27" t="n">
        <x:f>'计划购电量'!H79-'计划购电量'!B79</x:f>
        <x:v>61.33369999999998</x:v>
      </x:c>
      <x:c r="G79" s="27" t="n">
        <x:f>'计划购电量'!I79-'计划购电量'!B79</x:f>
        <x:v>0</x:v>
      </x:c>
      <x:c r="H79" s="27" t="n">
        <x:f>'计划购电量'!J79-'计划购电量'!B79</x:f>
        <x:v>0</x:v>
      </x:c>
      <x:c r="I79" s="27" t="n">
        <x:f>'计划购电量'!K79-'计划购电量'!B79</x:f>
        <x:v>0</x:v>
      </x:c>
      <x:c r="J79" s="27" t="n">
        <x:f>'计划购电量'!L79-'计划购电量'!B79</x:f>
        <x:v>0</x:v>
      </x:c>
      <x:c r="K79" s="27" t="n">
        <x:f>'计划购电量'!M79-'计划购电量'!B79</x:f>
        <x:v>0</x:v>
      </x:c>
      <x:c r="L79" s="27" t="n">
        <x:f>'计划购电量'!N79-'计划购电量'!B79</x:f>
        <x:v>0</x:v>
      </x:c>
      <x:c r="M79" s="27" t="n">
        <x:f>'计划购电量'!O79-'计划购电量'!B79</x:f>
        <x:v>0</x:v>
      </x:c>
      <x:c r="N79" s="27" t="n">
        <x:f>'计划购电量'!P79-'计划购电量'!B79</x:f>
        <x:v>0</x:v>
      </x:c>
      <x:c r="O79" s="27" t="n">
        <x:f>'计划购电量'!Q79-'计划购电量'!B79</x:f>
        <x:v>0</x:v>
      </x:c>
      <x:c r="P79" s="27" t="n">
        <x:f>'计划购电量'!R79-'计划购电量'!B79</x:f>
        <x:v>0</x:v>
      </x:c>
    </x:row>
    <x:row r="80" ht="25" customHeight="1">
      <x:c r="A80" s="27" t="str">
        <x:f>'计划购电量'!A80</x:f>
        <x:v>13:00-13:10</x:v>
      </x:c>
      <x:c r="B80" s="27" t="n">
        <x:f>'计划购电量'!D80-'计划购电量'!B80</x:f>
        <x:v>0</x:v>
      </x:c>
      <x:c r="C80" s="27" t="n">
        <x:f>'计划购电量'!E80-'计划购电量'!B80</x:f>
        <x:v>0</x:v>
      </x:c>
      <x:c r="D80" s="27" t="n">
        <x:f>'计划购电量'!F80-'计划购电量'!B80</x:f>
        <x:v>0</x:v>
      </x:c>
      <x:c r="E80" s="27" t="n">
        <x:f>'计划购电量'!G80-'计划购电量'!B80</x:f>
        <x:v>0</x:v>
      </x:c>
      <x:c r="F80" s="27" t="n">
        <x:f>'计划购电量'!H80-'计划购电量'!B80</x:f>
        <x:v>0</x:v>
      </x:c>
      <x:c r="G80" s="27" t="n">
        <x:f>'计划购电量'!I80-'计划购电量'!B80</x:f>
        <x:v>0</x:v>
      </x:c>
      <x:c r="H80" s="27" t="n">
        <x:f>'计划购电量'!J80-'计划购电量'!B80</x:f>
        <x:v>0</x:v>
      </x:c>
      <x:c r="I80" s="27" t="n">
        <x:f>'计划购电量'!K80-'计划购电量'!B80</x:f>
        <x:v>0</x:v>
      </x:c>
      <x:c r="J80" s="27" t="n">
        <x:f>'计划购电量'!L80-'计划购电量'!B80</x:f>
        <x:v>0</x:v>
      </x:c>
      <x:c r="K80" s="27" t="n">
        <x:f>'计划购电量'!M80-'计划购电量'!B80</x:f>
        <x:v>0</x:v>
      </x:c>
      <x:c r="L80" s="27" t="n">
        <x:f>'计划购电量'!N80-'计划购电量'!B80</x:f>
        <x:v>0</x:v>
      </x:c>
      <x:c r="M80" s="27" t="n">
        <x:f>'计划购电量'!O80-'计划购电量'!B80</x:f>
        <x:v>0</x:v>
      </x:c>
      <x:c r="N80" s="27" t="n">
        <x:f>'计划购电量'!P80-'计划购电量'!B80</x:f>
        <x:v>0</x:v>
      </x:c>
      <x:c r="O80" s="27" t="n">
        <x:f>'计划购电量'!Q80-'计划购电量'!B80</x:f>
        <x:v>0</x:v>
      </x:c>
      <x:c r="P80" s="27" t="n">
        <x:f>'计划购电量'!R80-'计划购电量'!B80</x:f>
        <x:v>0</x:v>
      </x:c>
    </x:row>
    <x:row r="81" ht="25" customHeight="1">
      <x:c r="A81" s="27" t="str">
        <x:f>'计划购电量'!A81</x:f>
        <x:v>13:10-13:20</x:v>
      </x:c>
      <x:c r="B81" s="27" t="n">
        <x:f>'计划购电量'!D81-'计划购电量'!B81</x:f>
        <x:v>0</x:v>
      </x:c>
      <x:c r="C81" s="27" t="n">
        <x:f>'计划购电量'!E81-'计划购电量'!B81</x:f>
        <x:v>0</x:v>
      </x:c>
      <x:c r="D81" s="27" t="n">
        <x:f>'计划购电量'!F81-'计划购电量'!B81</x:f>
        <x:v>0</x:v>
      </x:c>
      <x:c r="E81" s="27" t="n">
        <x:f>'计划购电量'!G81-'计划购电量'!B81</x:f>
        <x:v>0</x:v>
      </x:c>
      <x:c r="F81" s="27" t="n">
        <x:f>'计划购电量'!H81-'计划购电量'!B81</x:f>
        <x:v>0</x:v>
      </x:c>
      <x:c r="G81" s="27" t="n">
        <x:f>'计划购电量'!I81-'计划购电量'!B81</x:f>
        <x:v>0</x:v>
      </x:c>
      <x:c r="H81" s="27" t="n">
        <x:f>'计划购电量'!J81-'计划购电量'!B81</x:f>
        <x:v>0</x:v>
      </x:c>
      <x:c r="I81" s="27" t="n">
        <x:f>'计划购电量'!K81-'计划购电量'!B81</x:f>
        <x:v>0</x:v>
      </x:c>
      <x:c r="J81" s="27" t="n">
        <x:f>'计划购电量'!L81-'计划购电量'!B81</x:f>
        <x:v>0</x:v>
      </x:c>
      <x:c r="K81" s="27" t="n">
        <x:f>'计划购电量'!M81-'计划购电量'!B81</x:f>
        <x:v>0</x:v>
      </x:c>
      <x:c r="L81" s="27" t="n">
        <x:f>'计划购电量'!N81-'计划购电量'!B81</x:f>
        <x:v>0</x:v>
      </x:c>
      <x:c r="M81" s="27" t="n">
        <x:f>'计划购电量'!O81-'计划购电量'!B81</x:f>
        <x:v>0</x:v>
      </x:c>
      <x:c r="N81" s="27" t="n">
        <x:f>'计划购电量'!P81-'计划购电量'!B81</x:f>
        <x:v>0</x:v>
      </x:c>
      <x:c r="O81" s="27" t="n">
        <x:f>'计划购电量'!Q81-'计划购电量'!B81</x:f>
        <x:v>0</x:v>
      </x:c>
      <x:c r="P81" s="27" t="n">
        <x:f>'计划购电量'!R81-'计划购电量'!B81</x:f>
        <x:v>0</x:v>
      </x:c>
    </x:row>
    <x:row r="82" ht="25" customHeight="1">
      <x:c r="A82" s="27" t="str">
        <x:f>'计划购电量'!A82</x:f>
        <x:v>13:20-13:30</x:v>
      </x:c>
      <x:c r="B82" s="27" t="n">
        <x:f>'计划购电量'!D82-'计划购电量'!B82</x:f>
        <x:v>0</x:v>
      </x:c>
      <x:c r="C82" s="27" t="n">
        <x:f>'计划购电量'!E82-'计划购电量'!B82</x:f>
        <x:v>0</x:v>
      </x:c>
      <x:c r="D82" s="27" t="n">
        <x:f>'计划购电量'!F82-'计划购电量'!B82</x:f>
        <x:v>0</x:v>
      </x:c>
      <x:c r="E82" s="27" t="n">
        <x:f>'计划购电量'!G82-'计划购电量'!B82</x:f>
        <x:v>0</x:v>
      </x:c>
      <x:c r="F82" s="27" t="n">
        <x:f>'计划购电量'!H82-'计划购电量'!B82</x:f>
        <x:v>0</x:v>
      </x:c>
      <x:c r="G82" s="27" t="n">
        <x:f>'计划购电量'!I82-'计划购电量'!B82</x:f>
        <x:v>0</x:v>
      </x:c>
      <x:c r="H82" s="27" t="n">
        <x:f>'计划购电量'!J82-'计划购电量'!B82</x:f>
        <x:v>0</x:v>
      </x:c>
      <x:c r="I82" s="27" t="n">
        <x:f>'计划购电量'!K82-'计划购电量'!B82</x:f>
        <x:v>0</x:v>
      </x:c>
      <x:c r="J82" s="27" t="n">
        <x:f>'计划购电量'!L82-'计划购电量'!B82</x:f>
        <x:v>0</x:v>
      </x:c>
      <x:c r="K82" s="27" t="n">
        <x:f>'计划购电量'!M82-'计划购电量'!B82</x:f>
        <x:v>0</x:v>
      </x:c>
      <x:c r="L82" s="27" t="n">
        <x:f>'计划购电量'!N82-'计划购电量'!B82</x:f>
        <x:v>0</x:v>
      </x:c>
      <x:c r="M82" s="27" t="n">
        <x:f>'计划购电量'!O82-'计划购电量'!B82</x:f>
        <x:v>0</x:v>
      </x:c>
      <x:c r="N82" s="27" t="n">
        <x:f>'计划购电量'!P82-'计划购电量'!B82</x:f>
        <x:v>0</x:v>
      </x:c>
      <x:c r="O82" s="27" t="n">
        <x:f>'计划购电量'!Q82-'计划购电量'!B82</x:f>
        <x:v>0</x:v>
      </x:c>
      <x:c r="P82" s="27" t="n">
        <x:f>'计划购电量'!R82-'计划购电量'!B82</x:f>
        <x:v>0</x:v>
      </x:c>
    </x:row>
    <x:row r="83" ht="25" customHeight="1">
      <x:c r="A83" s="27" t="str">
        <x:f>'计划购电量'!A83</x:f>
        <x:v>13:30-13:40</x:v>
      </x:c>
      <x:c r="B83" s="27" t="n">
        <x:f>'计划购电量'!D83-'计划购电量'!B83</x:f>
        <x:v>0</x:v>
      </x:c>
      <x:c r="C83" s="27" t="n">
        <x:f>'计划购电量'!E83-'计划购电量'!B83</x:f>
        <x:v>0</x:v>
      </x:c>
      <x:c r="D83" s="27" t="n">
        <x:f>'计划购电量'!F83-'计划购电量'!B83</x:f>
        <x:v>0</x:v>
      </x:c>
      <x:c r="E83" s="27" t="n">
        <x:f>'计划购电量'!G83-'计划购电量'!B83</x:f>
        <x:v>0</x:v>
      </x:c>
      <x:c r="F83" s="27" t="n">
        <x:f>'计划购电量'!H83-'计划购电量'!B83</x:f>
        <x:v>0</x:v>
      </x:c>
      <x:c r="G83" s="27" t="n">
        <x:f>'计划购电量'!I83-'计划购电量'!B83</x:f>
        <x:v>0</x:v>
      </x:c>
      <x:c r="H83" s="27" t="n">
        <x:f>'计划购电量'!J83-'计划购电量'!B83</x:f>
        <x:v>0</x:v>
      </x:c>
      <x:c r="I83" s="27" t="n">
        <x:f>'计划购电量'!K83-'计划购电量'!B83</x:f>
        <x:v>0</x:v>
      </x:c>
      <x:c r="J83" s="27" t="n">
        <x:f>'计划购电量'!L83-'计划购电量'!B83</x:f>
        <x:v>0</x:v>
      </x:c>
      <x:c r="K83" s="27" t="n">
        <x:f>'计划购电量'!M83-'计划购电量'!B83</x:f>
        <x:v>0</x:v>
      </x:c>
      <x:c r="L83" s="27" t="n">
        <x:f>'计划购电量'!N83-'计划购电量'!B83</x:f>
        <x:v>0</x:v>
      </x:c>
      <x:c r="M83" s="27" t="n">
        <x:f>'计划购电量'!O83-'计划购电量'!B83</x:f>
        <x:v>0</x:v>
      </x:c>
      <x:c r="N83" s="27" t="n">
        <x:f>'计划购电量'!P83-'计划购电量'!B83</x:f>
        <x:v>0</x:v>
      </x:c>
      <x:c r="O83" s="27" t="n">
        <x:f>'计划购电量'!Q83-'计划购电量'!B83</x:f>
        <x:v>0</x:v>
      </x:c>
      <x:c r="P83" s="27" t="n">
        <x:f>'计划购电量'!R83-'计划购电量'!B83</x:f>
        <x:v>0</x:v>
      </x:c>
    </x:row>
    <x:row r="84" ht="25" customHeight="1">
      <x:c r="A84" s="27" t="str">
        <x:f>'计划购电量'!A84</x:f>
        <x:v>13:40-13:50</x:v>
      </x:c>
      <x:c r="B84" s="27" t="n">
        <x:f>'计划购电量'!D84-'计划购电量'!B84</x:f>
        <x:v>0</x:v>
      </x:c>
      <x:c r="C84" s="27" t="n">
        <x:f>'计划购电量'!E84-'计划购电量'!B84</x:f>
        <x:v>0</x:v>
      </x:c>
      <x:c r="D84" s="27" t="n">
        <x:f>'计划购电量'!F84-'计划购电量'!B84</x:f>
        <x:v>0</x:v>
      </x:c>
      <x:c r="E84" s="27" t="n">
        <x:f>'计划购电量'!G84-'计划购电量'!B84</x:f>
        <x:v>0</x:v>
      </x:c>
      <x:c r="F84" s="27" t="n">
        <x:f>'计划购电量'!H84-'计划购电量'!B84</x:f>
        <x:v>0</x:v>
      </x:c>
      <x:c r="G84" s="27" t="n">
        <x:f>'计划购电量'!I84-'计划购电量'!B84</x:f>
        <x:v>0</x:v>
      </x:c>
      <x:c r="H84" s="27" t="n">
        <x:f>'计划购电量'!J84-'计划购电量'!B84</x:f>
        <x:v>0</x:v>
      </x:c>
      <x:c r="I84" s="27" t="n">
        <x:f>'计划购电量'!K84-'计划购电量'!B84</x:f>
        <x:v>0</x:v>
      </x:c>
      <x:c r="J84" s="27" t="n">
        <x:f>'计划购电量'!L84-'计划购电量'!B84</x:f>
        <x:v>0</x:v>
      </x:c>
      <x:c r="K84" s="27" t="n">
        <x:f>'计划购电量'!M84-'计划购电量'!B84</x:f>
        <x:v>0</x:v>
      </x:c>
      <x:c r="L84" s="27" t="n">
        <x:f>'计划购电量'!N84-'计划购电量'!B84</x:f>
        <x:v>0</x:v>
      </x:c>
      <x:c r="M84" s="27" t="n">
        <x:f>'计划购电量'!O84-'计划购电量'!B84</x:f>
        <x:v>0</x:v>
      </x:c>
      <x:c r="N84" s="27" t="n">
        <x:f>'计划购电量'!P84-'计划购电量'!B84</x:f>
        <x:v>0</x:v>
      </x:c>
      <x:c r="O84" s="27" t="n">
        <x:f>'计划购电量'!Q84-'计划购电量'!B84</x:f>
        <x:v>0</x:v>
      </x:c>
      <x:c r="P84" s="27" t="n">
        <x:f>'计划购电量'!R84-'计划购电量'!B84</x:f>
        <x:v>0</x:v>
      </x:c>
    </x:row>
    <x:row r="85" ht="25" customHeight="1">
      <x:c r="A85" s="27" t="str">
        <x:f>'计划购电量'!A85</x:f>
        <x:v>13:50-14:00</x:v>
      </x:c>
      <x:c r="B85" s="27" t="n">
        <x:f>'计划购电量'!D85-'计划购电量'!B85</x:f>
        <x:v>0</x:v>
      </x:c>
      <x:c r="C85" s="27" t="n">
        <x:f>'计划购电量'!E85-'计划购电量'!B85</x:f>
        <x:v>0</x:v>
      </x:c>
      <x:c r="D85" s="27" t="n">
        <x:f>'计划购电量'!F85-'计划购电量'!B85</x:f>
        <x:v>0</x:v>
      </x:c>
      <x:c r="E85" s="27" t="n">
        <x:f>'计划购电量'!G85-'计划购电量'!B85</x:f>
        <x:v>0</x:v>
      </x:c>
      <x:c r="F85" s="27" t="n">
        <x:f>'计划购电量'!H85-'计划购电量'!B85</x:f>
        <x:v>0</x:v>
      </x:c>
      <x:c r="G85" s="27" t="n">
        <x:f>'计划购电量'!I85-'计划购电量'!B85</x:f>
        <x:v>0</x:v>
      </x:c>
      <x:c r="H85" s="27" t="n">
        <x:f>'计划购电量'!J85-'计划购电量'!B85</x:f>
        <x:v>0</x:v>
      </x:c>
      <x:c r="I85" s="27" t="n">
        <x:f>'计划购电量'!K85-'计划购电量'!B85</x:f>
        <x:v>0</x:v>
      </x:c>
      <x:c r="J85" s="27" t="n">
        <x:f>'计划购电量'!L85-'计划购电量'!B85</x:f>
        <x:v>0</x:v>
      </x:c>
      <x:c r="K85" s="27" t="n">
        <x:f>'计划购电量'!M85-'计划购电量'!B85</x:f>
        <x:v>0</x:v>
      </x:c>
      <x:c r="L85" s="27" t="n">
        <x:f>'计划购电量'!N85-'计划购电量'!B85</x:f>
        <x:v>0</x:v>
      </x:c>
      <x:c r="M85" s="27" t="n">
        <x:f>'计划购电量'!O85-'计划购电量'!B85</x:f>
        <x:v>0</x:v>
      </x:c>
      <x:c r="N85" s="27" t="n">
        <x:f>'计划购电量'!P85-'计划购电量'!B85</x:f>
        <x:v>0</x:v>
      </x:c>
      <x:c r="O85" s="27" t="n">
        <x:f>'计划购电量'!Q85-'计划购电量'!B85</x:f>
        <x:v>0</x:v>
      </x:c>
      <x:c r="P85" s="27" t="n">
        <x:f>'计划购电量'!R85-'计划购电量'!B85</x:f>
        <x:v>0</x:v>
      </x:c>
    </x:row>
    <x:row r="86" ht="25" customHeight="1">
      <x:c r="A86" s="27" t="str">
        <x:f>'计划购电量'!A86</x:f>
        <x:v>14:00-14:10</x:v>
      </x:c>
      <x:c r="B86" s="27" t="n">
        <x:f>'计划购电量'!D86-'计划购电量'!B86</x:f>
        <x:v>0</x:v>
      </x:c>
      <x:c r="C86" s="27" t="n">
        <x:f>'计划购电量'!E86-'计划购电量'!B86</x:f>
        <x:v>0</x:v>
      </x:c>
      <x:c r="D86" s="27" t="n">
        <x:f>'计划购电量'!F86-'计划购电量'!B86</x:f>
        <x:v>0</x:v>
      </x:c>
      <x:c r="E86" s="27" t="n">
        <x:f>'计划购电量'!G86-'计划购电量'!B86</x:f>
        <x:v>0</x:v>
      </x:c>
      <x:c r="F86" s="27" t="n">
        <x:f>'计划购电量'!H86-'计划购电量'!B86</x:f>
        <x:v>0</x:v>
      </x:c>
      <x:c r="G86" s="27" t="n">
        <x:f>'计划购电量'!I86-'计划购电量'!B86</x:f>
        <x:v>0</x:v>
      </x:c>
      <x:c r="H86" s="27" t="n">
        <x:f>'计划购电量'!J86-'计划购电量'!B86</x:f>
        <x:v>0</x:v>
      </x:c>
      <x:c r="I86" s="27" t="n">
        <x:f>'计划购电量'!K86-'计划购电量'!B86</x:f>
        <x:v>0</x:v>
      </x:c>
      <x:c r="J86" s="27" t="n">
        <x:f>'计划购电量'!L86-'计划购电量'!B86</x:f>
        <x:v>0</x:v>
      </x:c>
      <x:c r="K86" s="27" t="n">
        <x:f>'计划购电量'!M86-'计划购电量'!B86</x:f>
        <x:v>0</x:v>
      </x:c>
      <x:c r="L86" s="27" t="n">
        <x:f>'计划购电量'!N86-'计划购电量'!B86</x:f>
        <x:v>0</x:v>
      </x:c>
      <x:c r="M86" s="27" t="n">
        <x:f>'计划购电量'!O86-'计划购电量'!B86</x:f>
        <x:v>0</x:v>
      </x:c>
      <x:c r="N86" s="27" t="n">
        <x:f>'计划购电量'!P86-'计划购电量'!B86</x:f>
        <x:v>0</x:v>
      </x:c>
      <x:c r="O86" s="27" t="n">
        <x:f>'计划购电量'!Q86-'计划购电量'!B86</x:f>
        <x:v>0</x:v>
      </x:c>
      <x:c r="P86" s="27" t="n">
        <x:f>'计划购电量'!R86-'计划购电量'!B86</x:f>
        <x:v>0</x:v>
      </x:c>
    </x:row>
    <x:row r="87" ht="25" customHeight="1">
      <x:c r="A87" s="27" t="str">
        <x:f>'计划购电量'!A87</x:f>
        <x:v>14:10-14:20</x:v>
      </x:c>
      <x:c r="B87" s="27" t="n">
        <x:f>'计划购电量'!D87-'计划购电量'!B87</x:f>
        <x:v>0</x:v>
      </x:c>
      <x:c r="C87" s="27" t="n">
        <x:f>'计划购电量'!E87-'计划购电量'!B87</x:f>
        <x:v>0</x:v>
      </x:c>
      <x:c r="D87" s="27" t="n">
        <x:f>'计划购电量'!F87-'计划购电量'!B87</x:f>
        <x:v>0</x:v>
      </x:c>
      <x:c r="E87" s="27" t="n">
        <x:f>'计划购电量'!G87-'计划购电量'!B87</x:f>
        <x:v>0</x:v>
      </x:c>
      <x:c r="F87" s="27" t="n">
        <x:f>'计划购电量'!H87-'计划购电量'!B87</x:f>
        <x:v>0</x:v>
      </x:c>
      <x:c r="G87" s="27" t="n">
        <x:f>'计划购电量'!I87-'计划购电量'!B87</x:f>
        <x:v>0</x:v>
      </x:c>
      <x:c r="H87" s="27" t="n">
        <x:f>'计划购电量'!J87-'计划购电量'!B87</x:f>
        <x:v>0</x:v>
      </x:c>
      <x:c r="I87" s="27" t="n">
        <x:f>'计划购电量'!K87-'计划购电量'!B87</x:f>
        <x:v>0</x:v>
      </x:c>
      <x:c r="J87" s="27" t="n">
        <x:f>'计划购电量'!L87-'计划购电量'!B87</x:f>
        <x:v>0</x:v>
      </x:c>
      <x:c r="K87" s="27" t="n">
        <x:f>'计划购电量'!M87-'计划购电量'!B87</x:f>
        <x:v>0</x:v>
      </x:c>
      <x:c r="L87" s="27" t="n">
        <x:f>'计划购电量'!N87-'计划购电量'!B87</x:f>
        <x:v>0</x:v>
      </x:c>
      <x:c r="M87" s="27" t="n">
        <x:f>'计划购电量'!O87-'计划购电量'!B87</x:f>
        <x:v>0</x:v>
      </x:c>
      <x:c r="N87" s="27" t="n">
        <x:f>'计划购电量'!P87-'计划购电量'!B87</x:f>
        <x:v>0</x:v>
      </x:c>
      <x:c r="O87" s="27" t="n">
        <x:f>'计划购电量'!Q87-'计划购电量'!B87</x:f>
        <x:v>0</x:v>
      </x:c>
      <x:c r="P87" s="27" t="n">
        <x:f>'计划购电量'!R87-'计划购电量'!B87</x:f>
        <x:v>0</x:v>
      </x:c>
    </x:row>
    <x:row r="88" ht="25" customHeight="1">
      <x:c r="A88" s="27" t="str">
        <x:f>'计划购电量'!A88</x:f>
        <x:v>14:20-14:30</x:v>
      </x:c>
      <x:c r="B88" s="27" t="n">
        <x:f>'计划购电量'!D88-'计划购电量'!B88</x:f>
        <x:v>0</x:v>
      </x:c>
      <x:c r="C88" s="27" t="n">
        <x:f>'计划购电量'!E88-'计划购电量'!B88</x:f>
        <x:v>0</x:v>
      </x:c>
      <x:c r="D88" s="27" t="n">
        <x:f>'计划购电量'!F88-'计划购电量'!B88</x:f>
        <x:v>0</x:v>
      </x:c>
      <x:c r="E88" s="27" t="n">
        <x:f>'计划购电量'!G88-'计划购电量'!B88</x:f>
        <x:v>0</x:v>
      </x:c>
      <x:c r="F88" s="27" t="n">
        <x:f>'计划购电量'!H88-'计划购电量'!B88</x:f>
        <x:v>0</x:v>
      </x:c>
      <x:c r="G88" s="27" t="n">
        <x:f>'计划购电量'!I88-'计划购电量'!B88</x:f>
        <x:v>0</x:v>
      </x:c>
      <x:c r="H88" s="27" t="n">
        <x:f>'计划购电量'!J88-'计划购电量'!B88</x:f>
        <x:v>0</x:v>
      </x:c>
      <x:c r="I88" s="27" t="n">
        <x:f>'计划购电量'!K88-'计划购电量'!B88</x:f>
        <x:v>0</x:v>
      </x:c>
      <x:c r="J88" s="27" t="n">
        <x:f>'计划购电量'!L88-'计划购电量'!B88</x:f>
        <x:v>0</x:v>
      </x:c>
      <x:c r="K88" s="27" t="n">
        <x:f>'计划购电量'!M88-'计划购电量'!B88</x:f>
        <x:v>0</x:v>
      </x:c>
      <x:c r="L88" s="27" t="n">
        <x:f>'计划购电量'!N88-'计划购电量'!B88</x:f>
        <x:v>0</x:v>
      </x:c>
      <x:c r="M88" s="27" t="n">
        <x:f>'计划购电量'!O88-'计划购电量'!B88</x:f>
        <x:v>0</x:v>
      </x:c>
      <x:c r="N88" s="27" t="n">
        <x:f>'计划购电量'!P88-'计划购电量'!B88</x:f>
        <x:v>0</x:v>
      </x:c>
      <x:c r="O88" s="27" t="n">
        <x:f>'计划购电量'!Q88-'计划购电量'!B88</x:f>
        <x:v>0</x:v>
      </x:c>
      <x:c r="P88" s="27" t="n">
        <x:f>'计划购电量'!R88-'计划购电量'!B88</x:f>
        <x:v>0</x:v>
      </x:c>
    </x:row>
    <x:row r="89" ht="25" customHeight="1">
      <x:c r="A89" s="27" t="str">
        <x:f>'计划购电量'!A89</x:f>
        <x:v>14:30-14:40</x:v>
      </x:c>
      <x:c r="B89" s="27" t="n">
        <x:f>'计划购电量'!D89-'计划购电量'!B89</x:f>
        <x:v>-23.78136666666675</x:v>
      </x:c>
      <x:c r="C89" s="27" t="n">
        <x:f>'计划购电量'!E89-'计划购电量'!B89</x:f>
        <x:v>-23.78136666666675</x:v>
      </x:c>
      <x:c r="D89" s="27" t="n">
        <x:f>'计划购电量'!F89-'计划购电量'!B89</x:f>
        <x:v>0</x:v>
      </x:c>
      <x:c r="E89" s="27" t="n">
        <x:f>'计划购电量'!G89-'计划购电量'!B89</x:f>
        <x:v>0</x:v>
      </x:c>
      <x:c r="F89" s="27" t="n">
        <x:f>'计划购电量'!H89-'计划购电量'!B89</x:f>
        <x:v>0</x:v>
      </x:c>
      <x:c r="G89" s="27" t="n">
        <x:f>'计划购电量'!I89-'计划购电量'!B89</x:f>
        <x:v>0</x:v>
      </x:c>
      <x:c r="H89" s="27" t="n">
        <x:f>'计划购电量'!J89-'计划购电量'!B89</x:f>
        <x:v>0</x:v>
      </x:c>
      <x:c r="I89" s="27" t="n">
        <x:f>'计划购电量'!K89-'计划购电量'!B89</x:f>
        <x:v>-1.6839862837514374e-12</x:v>
      </x:c>
      <x:c r="J89" s="27" t="n">
        <x:f>'计划购电量'!L89-'计划购电量'!B89</x:f>
        <x:v>0</x:v>
      </x:c>
      <x:c r="K89" s="27" t="n">
        <x:f>'计划购电量'!M89-'计划购电量'!B89</x:f>
        <x:v>-3.4852121189032914e-12</x:v>
      </x:c>
      <x:c r="L89" s="27" t="n">
        <x:f>'计划购电量'!N89-'计划购电量'!B89</x:f>
        <x:v>-1.2789769243681803e-11</x:v>
      </x:c>
      <x:c r="M89" s="27" t="n">
        <x:f>'计划购电量'!O89-'计划购电量'!B89</x:f>
        <x:v>3.3359981443936704e-12</x:v>
      </x:c>
      <x:c r="N89" s="27" t="n">
        <x:f>'计划购电量'!P89-'计划购电量'!B89</x:f>
        <x:v>-8.103739901343943e-12</x:v>
      </x:c>
      <x:c r="O89" s="27" t="n">
        <x:f>'计划购电量'!Q89-'计划购电量'!B89</x:f>
        <x:v>-1.7895018800118123e-11</x:v>
      </x:c>
      <x:c r="P89" s="27" t="n">
        <x:f>'计划购电量'!R89-'计划购电量'!B89</x:f>
        <x:v>0</x:v>
      </x:c>
    </x:row>
    <x:row r="90" ht="25" customHeight="1">
      <x:c r="A90" s="27" t="str">
        <x:f>'计划购电量'!A90</x:f>
        <x:v>14:40-14:50</x:v>
      </x:c>
      <x:c r="B90" s="27" t="n">
        <x:f>'计划购电量'!D90-'计划购电量'!B90</x:f>
        <x:v>-67.3200166666667</x:v>
      </x:c>
      <x:c r="C90" s="27" t="n">
        <x:f>'计划购电量'!E90-'计划购电量'!B90</x:f>
        <x:v>-61.71669443963578</x:v>
      </x:c>
      <x:c r="D90" s="27" t="n">
        <x:f>'计划购电量'!F90-'计划购电量'!B90</x:f>
        <x:v>0</x:v>
      </x:c>
      <x:c r="E90" s="27" t="n">
        <x:f>'计划购电量'!G90-'计划购电量'!B90</x:f>
        <x:v>-1.4210854715202004e-14</x:v>
      </x:c>
      <x:c r="F90" s="27" t="n">
        <x:f>'计划购电量'!H90-'计划购电量'!B90</x:f>
        <x:v>0</x:v>
      </x:c>
      <x:c r="G90" s="27" t="n">
        <x:f>'计划购电量'!I90-'计划购电量'!B90</x:f>
        <x:v>2.5579538487363607e-13</x:v>
      </x:c>
      <x:c r="H90" s="27" t="n">
        <x:f>'计划购电量'!J90-'计划购电量'!B90</x:f>
        <x:v>-4.050093593832571e-12</x:v>
      </x:c>
      <x:c r="I90" s="27" t="n">
        <x:f>'计划购电量'!K90-'计划购电量'!B90</x:f>
        <x:v>0</x:v>
      </x:c>
      <x:c r="J90" s="27" t="n">
        <x:f>'计划购电量'!L90-'计划购电量'!B90</x:f>
        <x:v>8.526512829121202e-14</x:v>
      </x:c>
      <x:c r="K90" s="27" t="n">
        <x:f>'计划购电量'!M90-'计划购电量'!B90</x:f>
        <x:v>-3.481659405224491e-12</x:v>
      </x:c>
      <x:c r="L90" s="27" t="n">
        <x:f>'计划购电量'!N90-'计划购电量'!B90</x:f>
        <x:v>0</x:v>
      </x:c>
      <x:c r="M90" s="27" t="n">
        <x:f>'计划购电量'!O90-'计划购电量'!B90</x:f>
        <x:v>2.842170943040401e-14</x:v>
      </x:c>
      <x:c r="N90" s="27" t="n">
        <x:f>'计划购电量'!P90-'计划购电量'!B90</x:f>
        <x:v>0</x:v>
      </x:c>
      <x:c r="O90" s="27" t="n">
        <x:f>'计划购电量'!Q90-'计划购电量'!B90</x:f>
        <x:v>0</x:v>
      </x:c>
      <x:c r="P90" s="27" t="n">
        <x:f>'计划购电量'!R90-'计划购电量'!B90</x:f>
        <x:v>0</x:v>
      </x:c>
    </x:row>
    <x:row r="91" ht="25" customHeight="1">
      <x:c r="A91" s="27" t="str">
        <x:f>'计划购电量'!A91</x:f>
        <x:v>14:50-15:00</x:v>
      </x:c>
      <x:c r="B91" s="27" t="n">
        <x:f>'计划购电量'!D91-'计划购电量'!B91</x:f>
        <x:v>-0.166666666664554</x:v>
      </x:c>
      <x:c r="C91" s="27" t="n">
        <x:f>'计划购电量'!E91-'计划购电量'!B91</x:f>
        <x:v>-0.16666666666672825</x:v>
      </x:c>
      <x:c r="D91" s="27" t="n">
        <x:f>'计划购电量'!F91-'计划购电量'!B91</x:f>
        <x:v>0</x:v>
      </x:c>
      <x:c r="E91" s="27" t="n">
        <x:f>'计划购电量'!G91-'计划购电量'!B91</x:f>
        <x:v>0</x:v>
      </x:c>
      <x:c r="F91" s="27" t="n">
        <x:f>'计划购电量'!H91-'计划购电量'!B91</x:f>
        <x:v>0</x:v>
      </x:c>
      <x:c r="G91" s="27" t="n">
        <x:f>'计划购电量'!I91-'计划购电量'!B91</x:f>
        <x:v>2.1174173525650986e-12</x:v>
      </x:c>
      <x:c r="H91" s="27" t="n">
        <x:f>'计划购电量'!J91-'计划购电量'!B91</x:f>
        <x:v>-4.064304448547773e-12</x:v>
      </x:c>
      <x:c r="I91" s="27" t="n">
        <x:f>'计划购电量'!K91-'计划购电量'!B91</x:f>
        <x:v>0</x:v>
      </x:c>
      <x:c r="J91" s="27" t="n">
        <x:f>'计划购电量'!L91-'计划购电量'!B91</x:f>
        <x:v>0</x:v>
      </x:c>
      <x:c r="K91" s="27" t="n">
        <x:f>'计划购电量'!M91-'计划购电量'!B91</x:f>
        <x:v>-3.552713678800501e-12</x:v>
      </x:c>
      <x:c r="L91" s="27" t="n">
        <x:f>'计划购电量'!N91-'计划购电量'!B91</x:f>
        <x:v>-4.405364961712621e-13</x:v>
      </x:c>
      <x:c r="M91" s="27" t="n">
        <x:f>'计划购电量'!O91-'计划购电量'!B91</x:f>
        <x:v>2.842170943040401e-14</x:v>
      </x:c>
      <x:c r="N91" s="27" t="n">
        <x:f>'计划购电量'!P91-'计划购电量'!B91</x:f>
        <x:v>-4.263256414560601e-14</x:v>
      </x:c>
      <x:c r="O91" s="27" t="n">
        <x:f>'计划购电量'!Q91-'计划购电量'!B91</x:f>
        <x:v>-5.115907697472721e-12</x:v>
      </x:c>
      <x:c r="P91" s="27" t="n">
        <x:f>'计划购电量'!R91-'计划购电量'!B91</x:f>
        <x:v>0</x:v>
      </x:c>
    </x:row>
    <x:row r="92" ht="25" customHeight="1">
      <x:c r="A92" s="27" t="str">
        <x:f>'计划购电量'!A92</x:f>
        <x:v>15:00-15:10</x:v>
      </x:c>
      <x:c r="B92" s="27" t="n">
        <x:f>'计划购电量'!D92-'计划购电量'!B92</x:f>
        <x:v>101.07561111111016</x:v>
      </x:c>
      <x:c r="C92" s="27" t="n">
        <x:f>'计划购电量'!E92-'计划购电量'!B92</x:f>
        <x:v>31.72767695295113</x:v>
      </x:c>
      <x:c r="D92" s="27" t="n">
        <x:f>'计划购电量'!F92-'计划购电量'!B92</x:f>
        <x:v>0</x:v>
      </x:c>
      <x:c r="E92" s="27" t="n">
        <x:f>'计划购电量'!G92-'计划购电量'!B92</x:f>
        <x:v>0</x:v>
      </x:c>
      <x:c r="F92" s="27" t="n">
        <x:f>'计划购电量'!H92-'计划购电量'!B92</x:f>
        <x:v>0</x:v>
      </x:c>
      <x:c r="G92" s="27" t="n">
        <x:f>'计划购电量'!I92-'计划购电量'!B92</x:f>
        <x:v>1.4210854715202004e-12</x:v>
      </x:c>
      <x:c r="H92" s="27" t="n">
        <x:f>'计划购电量'!J92-'计划购电量'!B92</x:f>
        <x:v>-1.5063505998114124e-12</x:v>
      </x:c>
      <x:c r="I92" s="27" t="n">
        <x:f>'计划购电量'!K92-'计划购电量'!B92</x:f>
        <x:v>3.410605131648481e-13</x:v>
      </x:c>
      <x:c r="J92" s="27" t="n">
        <x:f>'计划购电量'!L92-'计划购电量'!B92</x:f>
        <x:v>2.842170943040401e-14</x:v>
      </x:c>
      <x:c r="K92" s="27" t="n">
        <x:f>'计划购电量'!M92-'计划购电量'!B92</x:f>
        <x:v>2.1600499167107046e-12</x:v>
      </x:c>
      <x:c r="L92" s="27" t="n">
        <x:f>'计划购电量'!N92-'计划购电量'!B92</x:f>
        <x:v>-3.979039320256561e-13</x:v>
      </x:c>
      <x:c r="M92" s="27" t="n">
        <x:f>'计划购电量'!O92-'计划购电量'!B92</x:f>
        <x:v>1.1368683772161603e-13</x:v>
      </x:c>
      <x:c r="N92" s="27" t="n">
        <x:f>'计划购电量'!P92-'计划购电量'!B92</x:f>
        <x:v>1.6484591469634324e-11</x:v>
      </x:c>
      <x:c r="O92" s="27" t="n">
        <x:f>'计划购电量'!Q92-'计划购电量'!B92</x:f>
        <x:v>1.864464138634503e-11</x:v>
      </x:c>
      <x:c r="P92" s="27" t="n">
        <x:f>'计划购电量'!R92-'计划购电量'!B92</x:f>
        <x:v>2.842170943040401e-14</x:v>
      </x:c>
    </x:row>
    <x:row r="93" ht="25" customHeight="1">
      <x:c r="A93" s="27" t="str">
        <x:f>'计划购电量'!A93</x:f>
        <x:v>15:10-15:20</x:v>
      </x:c>
      <x:c r="B93" s="27" t="n">
        <x:f>'计划购电量'!D93-'计划购电量'!B93</x:f>
        <x:v>0.16666666666802143</x:v>
      </x:c>
      <x:c r="C93" s="27" t="n">
        <x:f>'计划购电量'!E93-'计划购电量'!B93</x:f>
        <x:v>31.72767695295107</x:v>
      </x:c>
      <x:c r="D93" s="27" t="n">
        <x:f>'计划购电量'!F93-'计划购电量'!B93</x:f>
        <x:v>0</x:v>
      </x:c>
      <x:c r="E93" s="27" t="n">
        <x:f>'计划购电量'!G93-'计划购电量'!B93</x:f>
        <x:v>0</x:v>
      </x:c>
      <x:c r="F93" s="27" t="n">
        <x:f>'计划购电量'!H93-'计划购电量'!B93</x:f>
        <x:v>0</x:v>
      </x:c>
      <x:c r="G93" s="27" t="n">
        <x:f>'计划购电量'!I93-'计划购电量'!B93</x:f>
        <x:v>1.5347723092418164e-12</x:v>
      </x:c>
      <x:c r="H93" s="27" t="n">
        <x:f>'计划购电量'!J93-'计划购电量'!B93</x:f>
        <x:v>6.252776074688882e-13</x:v>
      </x:c>
      <x:c r="I93" s="27" t="n">
        <x:f>'计划购电量'!K93-'计划购电量'!B93</x:f>
        <x:v>2.8421709430404007e-13</x:v>
      </x:c>
      <x:c r="J93" s="27" t="n">
        <x:f>'计划购电量'!L93-'计划购电量'!B93</x:f>
        <x:v>3.410605131648481e-13</x:v>
      </x:c>
      <x:c r="K93" s="27" t="n">
        <x:f>'计划购电量'!M93-'计划购电量'!B93</x:f>
        <x:v>2.1032064978498966e-12</x:v>
      </x:c>
      <x:c r="L93" s="27" t="n">
        <x:f>'计划购电量'!N93-'计划购电量'!B93</x:f>
        <x:v>-6.252776074688882e-13</x:v>
      </x:c>
      <x:c r="M93" s="27" t="n">
        <x:f>'计划购电量'!O93-'计划购电量'!B93</x:f>
        <x:v>-3.495870259939693e-12</x:v>
      </x:c>
      <x:c r="N93" s="27" t="n">
        <x:f>'计划购电量'!P93-'计划购电量'!B93</x:f>
        <x:v>-9.038103598868474e-12</x:v>
      </x:c>
      <x:c r="O93" s="27" t="n">
        <x:f>'计划购电量'!Q93-'计划购电量'!B93</x:f>
        <x:v>0</x:v>
      </x:c>
      <x:c r="P93" s="27" t="n">
        <x:f>'计划购电量'!R93-'计划购电量'!B93</x:f>
        <x:v>0</x:v>
      </x:c>
    </x:row>
    <x:row r="94" ht="25" customHeight="1">
      <x:c r="A94" s="27" t="str">
        <x:f>'计划购电量'!A94</x:f>
        <x:v>15:20-15:30</x:v>
      </x:c>
      <x:c r="B94" s="27" t="n">
        <x:f>'计划购电量'!D94-'计划购电量'!B94</x:f>
        <x:v>0.1666666666699541</x:v>
      </x:c>
      <x:c r="C94" s="27" t="n">
        <x:f>'计划购电量'!E94-'计划购电量'!B94</x:f>
        <x:v>31.7276769529511</x:v>
      </x:c>
      <x:c r="D94" s="27" t="n">
        <x:f>'计划购电量'!F94-'计划购电量'!B94</x:f>
        <x:v>0</x:v>
      </x:c>
      <x:c r="E94" s="27" t="n">
        <x:f>'计划购电量'!G94-'计划购电量'!B94</x:f>
        <x:v>-3.694822225952521e-13</x:v>
      </x:c>
      <x:c r="F94" s="27" t="n">
        <x:f>'计划购电量'!H94-'计划购电量'!B94</x:f>
        <x:v>0</x:v>
      </x:c>
      <x:c r="G94" s="27" t="n">
        <x:f>'计划购电量'!I94-'计划购电量'!B94</x:f>
        <x:v>2.0179413695586845e-12</x:v>
      </x:c>
      <x:c r="H94" s="27" t="n">
        <x:f>'计划购电量'!J94-'计划购电量'!B94</x:f>
        <x:v>6.536993168992922e-13</x:v>
      </x:c>
      <x:c r="I94" s="27" t="n">
        <x:f>'计划购电量'!K94-'计划购电量'!B94</x:f>
        <x:v>-2.842170943040401e-14</x:v>
      </x:c>
      <x:c r="J94" s="27" t="n">
        <x:f>'计划购电量'!L94-'计划购电量'!B94</x:f>
        <x:v>-3.410605131648481e-13</x:v>
      </x:c>
      <x:c r="K94" s="27" t="n">
        <x:f>'计划购电量'!M94-'计划购电量'!B94</x:f>
        <x:v>2.1316282072803006e-12</x:v>
      </x:c>
      <x:c r="L94" s="27" t="n">
        <x:f>'计划购电量'!N94-'计划购电量'!B94</x:f>
        <x:v>2.0179413695586845e-12</x:v>
      </x:c>
      <x:c r="M94" s="27" t="n">
        <x:f>'计划购电量'!O94-'计划购电量'!B94</x:f>
        <x:v>-5.968558980384842e-13</x:v>
      </x:c>
      <x:c r="N94" s="27" t="n">
        <x:f>'计划购电量'!P94-'计划购电量'!B94</x:f>
        <x:v>-8.981260180007666e-12</x:v>
      </x:c>
      <x:c r="O94" s="27" t="n">
        <x:f>'计划购电量'!Q94-'计划购电量'!B94</x:f>
        <x:v>-4.177991286269389e-12</x:v>
      </x:c>
      <x:c r="P94" s="27" t="n">
        <x:f>'计划购电量'!R94-'计划购电量'!B94</x:f>
        <x:v>0</x:v>
      </x:c>
    </x:row>
    <x:row r="95" ht="25" customHeight="1">
      <x:c r="A95" s="27" t="str">
        <x:f>'计划购电量'!A95</x:f>
        <x:v>15:30-15:40</x:v>
      </x:c>
      <x:c r="B95" s="27" t="n">
        <x:f>'计划购电量'!D95-'计划购电量'!B95</x:f>
        <x:v>-2.000888343900442e-11</x:v>
      </x:c>
      <x:c r="C95" s="27" t="n">
        <x:f>'计划购电量'!E95-'计划购电量'!B95</x:f>
        <x:v>1.1368683772161603e-13</x:v>
      </x:c>
      <x:c r="D95" s="27" t="n">
        <x:f>'计划购电量'!F95-'计划购电量'!B95</x:f>
        <x:v>0</x:v>
      </x:c>
      <x:c r="E95" s="27" t="n">
        <x:f>'计划购电量'!G95-'计划购电量'!B95</x:f>
        <x:v>0</x:v>
      </x:c>
      <x:c r="F95" s="27" t="n">
        <x:f>'计划购电量'!H95-'计划购电量'!B95</x:f>
        <x:v>0</x:v>
      </x:c>
      <x:c r="G95" s="27" t="n">
        <x:f>'计划购电量'!I95-'计划购电量'!B95</x:f>
        <x:v>-1.6257217794191092e-11</x:v>
      </x:c>
      <x:c r="H95" s="27" t="n">
        <x:f>'计划购电量'!J95-'计划购电量'!B95</x:f>
        <x:v>1.0231815394945443e-12</x:v>
      </x:c>
      <x:c r="I95" s="27" t="n">
        <x:f>'计划购电量'!K95-'计划购电量'!B95</x:f>
        <x:v>0</x:v>
      </x:c>
      <x:c r="J95" s="27" t="n">
        <x:f>'计划购电量'!L95-'计划购电量'!B95</x:f>
        <x:v>0</x:v>
      </x:c>
      <x:c r="K95" s="27" t="n">
        <x:f>'计划购电量'!M95-'计划购电量'!B95</x:f>
        <x:v>-6.252776074688882e-13</x:v>
      </x:c>
      <x:c r="L95" s="27" t="n">
        <x:f>'计划购电量'!N95-'计划购电量'!B95</x:f>
        <x:v>-6.821210263296962e-13</x:v>
      </x:c>
      <x:c r="M95" s="27" t="n">
        <x:f>'计划购电量'!O95-'计划购电量'!B95</x:f>
        <x:v>0</x:v>
      </x:c>
      <x:c r="N95" s="27" t="n">
        <x:f>'计划购电量'!P95-'计划购电量'!B95</x:f>
        <x:v>3.410605131648481e-13</x:v>
      </x:c>
      <x:c r="O95" s="27" t="n">
        <x:f>'计划购电量'!Q95-'计划购电量'!B95</x:f>
        <x:v>5.002220859751105e-12</x:v>
      </x:c>
      <x:c r="P95" s="27" t="n">
        <x:f>'计划购电量'!R95-'计划购电量'!B95</x:f>
        <x:v>3.410605131648481e-13</x:v>
      </x:c>
    </x:row>
    <x:row r="96" ht="25" customHeight="1">
      <x:c r="A96" s="27" t="str">
        <x:f>'计划购电量'!A96</x:f>
        <x:v>15:40-15:50</x:v>
      </x:c>
      <x:c r="B96" s="27" t="n">
        <x:f>'计划购电量'!D96-'计划购电量'!B96</x:f>
        <x:v>1.2278178473934531e-11</x:v>
      </x:c>
      <x:c r="C96" s="27" t="n">
        <x:f>'计划购电量'!E96-'计划购电量'!B96</x:f>
        <x:v>0</x:v>
      </x:c>
      <x:c r="D96" s="27" t="n">
        <x:f>'计划购电量'!F96-'计划购电量'!B96</x:f>
        <x:v>-1.1368683772161603e-13</x:v>
      </x:c>
      <x:c r="E96" s="27" t="n">
        <x:f>'计划购电量'!G96-'计划购电量'!B96</x:f>
        <x:v>1.1368683772161603e-13</x:v>
      </x:c>
      <x:c r="F96" s="27" t="n">
        <x:f>'计划购电量'!H96-'计划购电量'!B96</x:f>
        <x:v>0</x:v>
      </x:c>
      <x:c r="G96" s="27" t="n">
        <x:f>'计划购电量'!I96-'计划购电量'!B96</x:f>
        <x:v>2.2168933355715126e-12</x:v>
      </x:c>
      <x:c r="H96" s="27" t="n">
        <x:f>'计划购电量'!J96-'计划购电量'!B96</x:f>
        <x:v>6.252776074688882e-13</x:v>
      </x:c>
      <x:c r="I96" s="27" t="n">
        <x:f>'计划购电量'!K96-'计划购电量'!B96</x:f>
        <x:v>0</x:v>
      </x:c>
      <x:c r="J96" s="27" t="n">
        <x:f>'计划购电量'!L96-'计划购电量'!B96</x:f>
        <x:v>-5.684341886080802e-14</x:v>
      </x:c>
      <x:c r="K96" s="27" t="n">
        <x:f>'计划购电量'!M96-'计划购电量'!B96</x:f>
        <x:v>-9.663381206337363e-13</x:v>
      </x:c>
      <x:c r="L96" s="27" t="n">
        <x:f>'计划购电量'!N96-'计划购电量'!B96</x:f>
        <x:v>-1.0231815394945443e-12</x:v>
      </x:c>
      <x:c r="M96" s="27" t="n">
        <x:f>'计划购电量'!O96-'计划购电量'!B96</x:f>
        <x:v>1.1368683772161603e-13</x:v>
      </x:c>
      <x:c r="N96" s="27" t="n">
        <x:f>'计划购电量'!P96-'计划购电量'!B96</x:f>
        <x:v>0</x:v>
      </x:c>
      <x:c r="O96" s="27" t="n">
        <x:f>'计划购电量'!Q96-'计划购电量'!B96</x:f>
        <x:v>1.1368683772161603e-13</x:v>
      </x:c>
      <x:c r="P96" s="27" t="n">
        <x:f>'计划购电量'!R96-'计划购电量'!B96</x:f>
        <x:v>0</x:v>
      </x:c>
    </x:row>
    <x:row r="97" ht="25" customHeight="1">
      <x:c r="A97" s="27" t="str">
        <x:f>'计划购电量'!A97</x:f>
        <x:v>15:50-16:00</x:v>
      </x:c>
      <x:c r="B97" s="27" t="n">
        <x:f>'计划购电量'!D97-'计划购电量'!B97</x:f>
        <x:v>0</x:v>
      </x:c>
      <x:c r="C97" s="27" t="n">
        <x:f>'计划购电量'!E97-'计划购电量'!B97</x:f>
        <x:v>-2.2737367544323206e-13</x:v>
      </x:c>
      <x:c r="D97" s="27" t="n">
        <x:f>'计划购电量'!F97-'计划购电量'!B97</x:f>
        <x:v>-5.684341886080802e-14</x:v>
      </x:c>
      <x:c r="E97" s="27" t="n">
        <x:f>'计划购电量'!G97-'计划购电量'!B97</x:f>
        <x:v>0</x:v>
      </x:c>
      <x:c r="F97" s="27" t="n">
        <x:f>'计划购电量'!H97-'计划购电量'!B97</x:f>
        <x:v>0</x:v>
      </x:c>
      <x:c r="G97" s="27" t="n">
        <x:f>'计划购电量'!I97-'计划购电量'!B97</x:f>
        <x:v>3.052889496757416e-9</x:v>
      </x:c>
      <x:c r="H97" s="27" t="n">
        <x:f>'计划购电量'!J97-'计划购电量'!B97</x:f>
        <x:v>6.252776074688882e-13</x:v>
      </x:c>
      <x:c r="I97" s="27" t="n">
        <x:f>'计划购电量'!K97-'计划购电量'!B97</x:f>
        <x:v>6.252776074688882e-13</x:v>
      </x:c>
      <x:c r="J97" s="27" t="n">
        <x:f>'计划购电量'!L97-'计划购电量'!B97</x:f>
        <x:v>0</x:v>
      </x:c>
      <x:c r="K97" s="27" t="n">
        <x:f>'计划购电量'!M97-'计划购电量'!B97</x:f>
        <x:v>7.389644451905042e-13</x:v>
      </x:c>
      <x:c r="L97" s="27" t="n">
        <x:f>'计划购电量'!N97-'计划购电量'!B97</x:f>
        <x:v>1.0970779840135947e-11</x:v>
      </x:c>
      <x:c r="M97" s="27" t="n">
        <x:f>'计划购电量'!O97-'计划购电量'!B97</x:f>
        <x:v>-2.2737367544323206e-13</x:v>
      </x:c>
      <x:c r="N97" s="27" t="n">
        <x:f>'计划购电量'!P97-'计划购电量'!B97</x:f>
        <x:v>2.2737367544323206e-13</x:v>
      </x:c>
      <x:c r="O97" s="27" t="n">
        <x:f>'计划购电量'!Q97-'计划购电量'!B97</x:f>
        <x:v>1.7053025658242404e-13</x:v>
      </x:c>
      <x:c r="P97" s="27" t="n">
        <x:f>'计划购电量'!R97-'计划购电量'!B97</x:f>
        <x:v>0</x:v>
      </x:c>
    </x:row>
    <x:row r="98" ht="25" customHeight="1">
      <x:c r="A98" s="27" t="str">
        <x:f>'计划购电量'!A98</x:f>
        <x:v>16:00-16:10</x:v>
      </x:c>
      <x:c r="B98" s="27" t="n">
        <x:f>'计划购电量'!D98-'计划购电量'!B98</x:f>
        <x:v>0</x:v>
      </x:c>
      <x:c r="C98" s="27" t="n">
        <x:f>'计划购电量'!E98-'计划购电量'!B98</x:f>
        <x:v>-1.7053025658242404e-13</x:v>
      </x:c>
      <x:c r="D98" s="27" t="n">
        <x:f>'计划购电量'!F98-'计划购电量'!B98</x:f>
        <x:v>-3.410605131648481e-13</x:v>
      </x:c>
      <x:c r="E98" s="27" t="n">
        <x:f>'计划购电量'!G98-'计划购电量'!B98</x:f>
        <x:v>0</x:v>
      </x:c>
      <x:c r="F98" s="27" t="n">
        <x:f>'计划购电量'!H98-'计划购电量'!B98</x:f>
        <x:v>0</x:v>
      </x:c>
      <x:c r="G98" s="27" t="n">
        <x:f>'计划购电量'!I98-'计划购电量'!B98</x:f>
        <x:v>-3.0290721042547375e-9</x:v>
      </x:c>
      <x:c r="H98" s="27" t="n">
        <x:f>'计划购电量'!J98-'计划购电量'!B98</x:f>
        <x:v>-1.7053025658242404e-13</x:v>
      </x:c>
      <x:c r="I98" s="27" t="n">
        <x:f>'计划购电量'!K98-'计划购电量'!B98</x:f>
        <x:v>5.684341886080802e-14</x:v>
      </x:c>
      <x:c r="J98" s="27" t="n">
        <x:f>'计划购电量'!L98-'计划购电量'!B98</x:f>
        <x:v>5.684341886080802e-14</x:v>
      </x:c>
      <x:c r="K98" s="27" t="n">
        <x:f>'计划购电量'!M98-'计划购电量'!B98</x:f>
        <x:v>7.958078640513122e-13</x:v>
      </x:c>
      <x:c r="L98" s="27" t="n">
        <x:f>'计划购电量'!N98-'计划购电量'!B98</x:f>
        <x:v>1.4381384971784428e-11</x:v>
      </x:c>
      <x:c r="M98" s="27" t="n">
        <x:f>'计划购电量'!O98-'计划购电量'!B98</x:f>
        <x:v>-1.7053025658242404e-13</x:v>
      </x:c>
      <x:c r="N98" s="27" t="n">
        <x:f>'计划购电量'!P98-'计划购电量'!B98</x:f>
        <x:v>6.366462912410498e-12</x:v>
      </x:c>
      <x:c r="O98" s="27" t="n">
        <x:f>'计划购电量'!Q98-'计划购电量'!B98</x:f>
        <x:v>-1.0800249583553523e-12</x:v>
      </x:c>
      <x:c r="P98" s="27" t="n">
        <x:f>'计划购电量'!R98-'计划购电量'!B98</x:f>
        <x:v>5.684341886080802e-14</x:v>
      </x:c>
    </x:row>
    <x:row r="99" ht="25" customHeight="1">
      <x:c r="A99" s="27" t="str">
        <x:f>'计划购电量'!A99</x:f>
        <x:v>16:10-16:20</x:v>
      </x:c>
      <x:c r="B99" s="27" t="n">
        <x:f>'计划购电量'!D99-'计划购电量'!B99</x:f>
        <x:v>0</x:v>
      </x:c>
      <x:c r="C99" s="27" t="n">
        <x:f>'计划购电量'!E99-'计划购电量'!B99</x:f>
        <x:v>-1.7053025658242404e-13</x:v>
      </x:c>
      <x:c r="D99" s="27" t="n">
        <x:f>'计划购电量'!F99-'计划购电量'!B99</x:f>
        <x:v>-7.389644451905042e-13</x:v>
      </x:c>
      <x:c r="E99" s="27" t="n">
        <x:f>'计划购电量'!G99-'计划购电量'!B99</x:f>
        <x:v>5.684341886080802e-14</x:v>
      </x:c>
      <x:c r="F99" s="27" t="n">
        <x:f>'计划购电量'!H99-'计划购电量'!B99</x:f>
        <x:v>0</x:v>
      </x:c>
      <x:c r="G99" s="27" t="n">
        <x:f>'计划购电量'!I99-'计划购电量'!B99</x:f>
        <x:v>4.547473508864641e-13</x:v>
      </x:c>
      <x:c r="H99" s="27" t="n">
        <x:f>'计划购电量'!J99-'计划购电量'!B99</x:f>
        <x:v>4.547473508864641e-13</x:v>
      </x:c>
      <x:c r="I99" s="27" t="n">
        <x:f>'计划购电量'!K99-'计划购电量'!B99</x:f>
        <x:v>0</x:v>
      </x:c>
      <x:c r="J99" s="27" t="n">
        <x:f>'计划购电量'!L99-'计划购电量'!B99</x:f>
        <x:v>0</x:v>
      </x:c>
      <x:c r="K99" s="27" t="n">
        <x:f>'计划购电量'!M99-'计划购电量'!B99</x:f>
        <x:v>8.526512829121202e-13</x:v>
      </x:c>
      <x:c r="L99" s="27" t="n">
        <x:f>'计划购电量'!N99-'计划购电量'!B99</x:f>
        <x:v>1.4381384971784428e-11</x:v>
      </x:c>
      <x:c r="M99" s="27" t="n">
        <x:f>'计划购电量'!O99-'计划购电量'!B99</x:f>
        <x:v>-1.7053025658242404e-13</x:v>
      </x:c>
      <x:c r="N99" s="27" t="n">
        <x:f>'计划购电量'!P99-'计划购电量'!B99</x:f>
        <x:v>-2.7853275241795927e-12</x:v>
      </x:c>
      <x:c r="O99" s="27" t="n">
        <x:f>'计划购电量'!Q99-'计划购电量'!B99</x:f>
        <x:v>-1.1368683772161603e-12</x:v>
      </x:c>
      <x:c r="P99" s="27" t="n">
        <x:f>'计划购电量'!R99-'计划购电量'!B99</x:f>
        <x:v>5.684341886080802e-14</x:v>
      </x:c>
    </x:row>
    <x:row r="100" ht="25" customHeight="1">
      <x:c r="A100" s="27" t="str">
        <x:f>'计划购电量'!A100</x:f>
        <x:v>16:20-16:30</x:v>
      </x:c>
      <x:c r="B100" s="27" t="n">
        <x:f>'计划购电量'!D100-'计划购电量'!B100</x:f>
        <x:v>-6.821210263296962e-13</x:v>
      </x:c>
      <x:c r="C100" s="27" t="n">
        <x:f>'计划购电量'!E100-'计划购电量'!B100</x:f>
        <x:v>0</x:v>
      </x:c>
      <x:c r="D100" s="27" t="n">
        <x:f>'计划购电量'!F100-'计划购电量'!B100</x:f>
        <x:v>-3.410605131648481e-13</x:v>
      </x:c>
      <x:c r="E100" s="27" t="n">
        <x:f>'计划购电量'!G100-'计划购电量'!B100</x:f>
        <x:v>0</x:v>
      </x:c>
      <x:c r="F100" s="27" t="n">
        <x:f>'计划购电量'!H100-'计划购电量'!B100</x:f>
        <x:v>0</x:v>
      </x:c>
      <x:c r="G100" s="27" t="n">
        <x:f>'计划购电量'!I100-'计划购电量'!B100</x:f>
        <x:v>-2.2737367544323206e-13</x:v>
      </x:c>
      <x:c r="H100" s="27" t="n">
        <x:f>'计划购电量'!J100-'计划购电量'!B100</x:f>
        <x:v>-3.410605131648481e-13</x:v>
      </x:c>
      <x:c r="I100" s="27" t="n">
        <x:f>'计划购电量'!K100-'计划购电量'!B100</x:f>
        <x:v>-5.684341886080801e-13</x:v>
      </x:c>
      <x:c r="J100" s="27" t="n">
        <x:f>'计划购电量'!L100-'计划购电量'!B100</x:f>
        <x:v>-5.684341886080801e-13</x:v>
      </x:c>
      <x:c r="K100" s="27" t="n">
        <x:f>'计划购电量'!M100-'计划购电量'!B100</x:f>
        <x:v>1.1368683772161603e-13</x:v>
      </x:c>
      <x:c r="L100" s="27" t="n">
        <x:f>'计划购电量'!N100-'计划购电量'!B100</x:f>
        <x:v>-2.1259438653942198e-11</x:v>
      </x:c>
      <x:c r="M100" s="27" t="n">
        <x:f>'计划购电量'!O100-'计划购电量'!B100</x:f>
        <x:v>-1.1368683772161603e-13</x:v>
      </x:c>
      <x:c r="N100" s="27" t="n">
        <x:f>'计划购电量'!P100-'计划购电量'!B100</x:f>
        <x:v>-3.524291969370097e-12</x:v>
      </x:c>
      <x:c r="O100" s="27" t="n">
        <x:f>'计划购电量'!Q100-'计划购电量'!B100</x:f>
        <x:v>1.1368683772161603e-12</x:v>
      </x:c>
      <x:c r="P100" s="27" t="n">
        <x:f>'计划购电量'!R100-'计划购电量'!B100</x:f>
        <x:v>-5.684341886080801e-13</x:v>
      </x:c>
    </x:row>
    <x:row r="101" ht="25" customHeight="1">
      <x:c r="A101" s="27" t="str">
        <x:f>'计划购电量'!A101</x:f>
        <x:v>16:30-16:40</x:v>
      </x:c>
      <x:c r="B101" s="27" t="n">
        <x:f>'计划购电量'!D101-'计划购电量'!B101</x:f>
        <x:v>-5.684341886080801e-13</x:v>
      </x:c>
      <x:c r="C101" s="27" t="n">
        <x:f>'计划购电量'!E101-'计划购电量'!B101</x:f>
        <x:v>0</x:v>
      </x:c>
      <x:c r="D101" s="27" t="n">
        <x:f>'计划购电量'!F101-'计划购电量'!B101</x:f>
        <x:v>-1.4779288903810084e-12</x:v>
      </x:c>
      <x:c r="E101" s="27" t="n">
        <x:f>'计划购电量'!G101-'计划购电量'!B101</x:f>
        <x:v>-3.410605131648481e-13</x:v>
      </x:c>
      <x:c r="F101" s="27" t="n">
        <x:f>'计划购电量'!H101-'计划购电量'!B101</x:f>
        <x:v>0</x:v>
      </x:c>
      <x:c r="G101" s="27" t="n">
        <x:f>'计划购电量'!I101-'计划购电量'!B101</x:f>
        <x:v>-3.410605131648481e-13</x:v>
      </x:c>
      <x:c r="H101" s="27" t="n">
        <x:f>'计划购电量'!J101-'计划购电量'!B101</x:f>
        <x:v>-5.684341886080801e-13</x:v>
      </x:c>
      <x:c r="I101" s="27" t="n">
        <x:f>'计划购电量'!K101-'计划购电量'!B101</x:f>
        <x:v>1.1368683772161603e-13</x:v>
      </x:c>
      <x:c r="J101" s="27" t="n">
        <x:f>'计划购电量'!L101-'计划购电量'!B101</x:f>
        <x:v>1.1368683772161603e-13</x:v>
      </x:c>
      <x:c r="K101" s="27" t="n">
        <x:f>'计划购电量'!M101-'计划购电量'!B101</x:f>
        <x:v>1.1368683772161603e-13</x:v>
      </x:c>
      <x:c r="L101" s="27" t="n">
        <x:f>'计划购电量'!N101-'计划购电量'!B101</x:f>
        <x:v>-2.0122570276726037e-11</x:v>
      </x:c>
      <x:c r="M101" s="27" t="n">
        <x:f>'计划购电量'!O101-'计划购电量'!B101</x:f>
        <x:v>2.7284841053187847e-12</x:v>
      </x:c>
      <x:c r="N101" s="27" t="n">
        <x:f>'计划购电量'!P101-'计划购电量'!B101</x:f>
        <x:v>-1.5916157281026244e-12</x:v>
      </x:c>
      <x:c r="O101" s="27" t="n">
        <x:f>'计划购电量'!Q101-'计划购电量'!B101</x:f>
        <x:v>-1.9326762412674725e-12</x:v>
      </x:c>
      <x:c r="P101" s="27" t="n">
        <x:f>'计划购电量'!R101-'计划购电量'!B101</x:f>
        <x:v>-5.684341886080801e-13</x:v>
      </x:c>
    </x:row>
    <x:row r="102" ht="25" customHeight="1">
      <x:c r="A102" s="27" t="str">
        <x:f>'计划购电量'!A102</x:f>
        <x:v>16:40-16:50</x:v>
      </x:c>
      <x:c r="B102" s="27" t="n">
        <x:f>'计划购电量'!D102-'计划购电量'!B102</x:f>
        <x:v>1.1368683772161603e-13</x:v>
      </x:c>
      <x:c r="C102" s="27" t="n">
        <x:f>'计划购电量'!E102-'计划购电量'!B102</x:f>
        <x:v>0</x:v>
      </x:c>
      <x:c r="D102" s="27" t="n">
        <x:f>'计划购电量'!F102-'计划购电量'!B102</x:f>
        <x:v>-6.821210263296962e-13</x:v>
      </x:c>
      <x:c r="E102" s="27" t="n">
        <x:f>'计划购电量'!G102-'计划购电量'!B102</x:f>
        <x:v>0</x:v>
      </x:c>
      <x:c r="F102" s="27" t="n">
        <x:f>'计划购电量'!H102-'计划购电量'!B102</x:f>
        <x:v>0</x:v>
      </x:c>
      <x:c r="G102" s="27" t="n">
        <x:f>'计划购电量'!I102-'计划购电量'!B102</x:f>
        <x:v>3.410605131648481e-13</x:v>
      </x:c>
      <x:c r="H102" s="27" t="n">
        <x:f>'计划购电量'!J102-'计划购电量'!B102</x:f>
        <x:v>1.1368683772161603e-13</x:v>
      </x:c>
      <x:c r="I102" s="27" t="n">
        <x:f>'计划购电量'!K102-'计划购电量'!B102</x:f>
        <x:v>0</x:v>
      </x:c>
      <x:c r="J102" s="27" t="n">
        <x:f>'计划购电量'!L102-'计划购电量'!B102</x:f>
        <x:v>1.3642420526593924e-12</x:v>
      </x:c>
      <x:c r="K102" s="27" t="n">
        <x:f>'计划购电量'!M102-'计划购电量'!B102</x:f>
        <x:v>9.094947017729282e-13</x:v>
      </x:c>
      <x:c r="L102" s="27" t="n">
        <x:f>'计划购电量'!N102-'计划购电量'!B102</x:f>
        <x:v>-1.944044925039634e-11</x:v>
      </x:c>
      <x:c r="M102" s="27" t="n">
        <x:f>'计划购电量'!O102-'计划购电量'!B102</x:f>
        <x:v>-4.206412995699793e-12</x:v>
      </x:c>
      <x:c r="N102" s="27" t="n">
        <x:f>'计划购电量'!P102-'计划购电量'!B102</x:f>
        <x:v>-9.094947017729282e-13</x:v>
      </x:c>
      <x:c r="O102" s="27" t="n">
        <x:f>'计划购电量'!Q102-'计划购电量'!B102</x:f>
        <x:v>-1.2505552149377763e-12</x:v>
      </x:c>
      <x:c r="P102" s="27" t="n">
        <x:f>'计划购电量'!R102-'计划购电量'!B102</x:f>
        <x:v>1.1368683772161603e-13</x:v>
      </x:c>
    </x:row>
    <x:row r="103" ht="25" customHeight="1">
      <x:c r="A103" s="27" t="str">
        <x:f>'计划购电量'!A103</x:f>
        <x:v>16:50-17:00</x:v>
      </x:c>
      <x:c r="B103" s="27" t="n">
        <x:f>'计划购电量'!D103-'计划购电量'!B103</x:f>
        <x:v>0</x:v>
      </x:c>
      <x:c r="C103" s="27" t="n">
        <x:f>'计划购电量'!E103-'计划购电量'!B103</x:f>
        <x:v>0</x:v>
      </x:c>
      <x:c r="D103" s="27" t="n">
        <x:f>'计划购电量'!F103-'计划购电量'!B103</x:f>
        <x:v>-6.821210263296962e-13</x:v>
      </x:c>
      <x:c r="E103" s="27" t="n">
        <x:f>'计划购电量'!G103-'计划购电量'!B103</x:f>
        <x:v>0</x:v>
      </x:c>
      <x:c r="F103" s="27" t="n">
        <x:f>'计划购电量'!H103-'计划购电量'!B103</x:f>
        <x:v>0</x:v>
      </x:c>
      <x:c r="G103" s="27" t="n">
        <x:f>'计划购电量'!I103-'计划购电量'!B103</x:f>
        <x:v>2.2737367544323206e-13</x:v>
      </x:c>
      <x:c r="H103" s="27" t="n">
        <x:f>'计划购电量'!J103-'计划购电量'!B103</x:f>
        <x:v>0</x:v>
      </x:c>
      <x:c r="I103" s="27" t="n">
        <x:f>'计划购电量'!K103-'计划购电量'!B103</x:f>
        <x:v>0</x:v>
      </x:c>
      <x:c r="J103" s="27" t="n">
        <x:f>'计划购电量'!L103-'计划购电量'!B103</x:f>
        <x:v>0</x:v>
      </x:c>
      <x:c r="K103" s="27" t="n">
        <x:f>'计划购电量'!M103-'计划购电量'!B103</x:f>
        <x:v>7.958078640513122e-13</x:v>
      </x:c>
      <x:c r="L103" s="27" t="n">
        <x:f>'计划购电量'!N103-'计划购电量'!B103</x:f>
        <x:v>-1.9554136088117957e-11</x:v>
      </x:c>
      <x:c r="M103" s="27" t="n">
        <x:f>'计划购电量'!O103-'计划购电量'!B103</x:f>
        <x:v>-4.547473508864641e-13</x:v>
      </x:c>
      <x:c r="N103" s="27" t="n">
        <x:f>'计划购电量'!P103-'计划购电量'!B103</x:f>
        <x:v>-9.094947017729282e-13</x:v>
      </x:c>
      <x:c r="O103" s="27" t="n">
        <x:f>'计划购电量'!Q103-'计划购电量'!B103</x:f>
        <x:v>-9.094947017729282e-13</x:v>
      </x:c>
      <x:c r="P103" s="27" t="n">
        <x:f>'计划购电量'!R103-'计划购电量'!B103</x:f>
        <x:v>0</x:v>
      </x:c>
    </x:row>
    <x:row r="104" ht="25" customHeight="1">
      <x:c r="A104" s="27" t="str">
        <x:f>'计划购电量'!A104</x:f>
        <x:v>17:00-17:10</x:v>
      </x:c>
      <x:c r="B104" s="27" t="n">
        <x:f>'计划购电量'!D104-'计划购电量'!B104</x:f>
        <x:v>2.4215296434704214e-11</x:v>
      </x:c>
      <x:c r="C104" s="27" t="n">
        <x:f>'计划购电量'!E104-'计划购电量'!B104</x:f>
        <x:v>0</x:v>
      </x:c>
      <x:c r="D104" s="27" t="n">
        <x:f>'计划购电量'!F104-'计划购电量'!B104</x:f>
        <x:v>-7.958078640513122e-13</x:v>
      </x:c>
      <x:c r="E104" s="27" t="n">
        <x:f>'计划购电量'!G104-'计划购电量'!B104</x:f>
        <x:v>0</x:v>
      </x:c>
      <x:c r="F104" s="27" t="n">
        <x:f>'计划购电量'!H104-'计划购电量'!B104</x:f>
        <x:v>0</x:v>
      </x:c>
      <x:c r="G104" s="27" t="n">
        <x:f>'计划购电量'!I104-'计划购电量'!B104</x:f>
        <x:v>-3.410605131648481e-13</x:v>
      </x:c>
      <x:c r="H104" s="27" t="n">
        <x:f>'计划购电量'!J104-'计划购电量'!B104</x:f>
        <x:v>-2.2737367544323206e-13</x:v>
      </x:c>
      <x:c r="I104" s="27" t="n">
        <x:f>'计划购电量'!K104-'计划购电量'!B104</x:f>
        <x:v>0</x:v>
      </x:c>
      <x:c r="J104" s="27" t="n">
        <x:f>'计划购电量'!L104-'计划购电量'!B104</x:f>
        <x:v>1.1368683772161603e-12</x:v>
      </x:c>
      <x:c r="K104" s="27" t="n">
        <x:f>'计划购电量'!M104-'计划购电量'!B104</x:f>
        <x:v>6.821210263296962e-13</x:v>
      </x:c>
      <x:c r="L104" s="27" t="n">
        <x:f>'计划购电量'!N104-'计划购电量'!B104</x:f>
        <x:v>3.9108272176235914e-11</x:v>
      </x:c>
      <x:c r="M104" s="27" t="n">
        <x:f>'计划购电量'!O104-'计划购电量'!B104</x:f>
        <x:v>-4.547473508864641e-13</x:v>
      </x:c>
      <x:c r="N104" s="27" t="n">
        <x:f>'计划购电量'!P104-'计划购电量'!B104</x:f>
        <x:v>4.547473508864641e-13</x:v>
      </x:c>
      <x:c r="O104" s="27" t="n">
        <x:f>'计划购电量'!Q104-'计划购电量'!B104</x:f>
        <x:v>6.821210263296962e-13</x:v>
      </x:c>
      <x:c r="P104" s="27" t="n">
        <x:f>'计划购电量'!R104-'计划购电量'!B104</x:f>
        <x:v>0</x:v>
      </x:c>
    </x:row>
    <x:row r="105" ht="25" customHeight="1">
      <x:c r="A105" s="27" t="str">
        <x:f>'计划购电量'!A105</x:f>
        <x:v>17:10-17:20</x:v>
      </x:c>
      <x:c r="B105" s="27" t="n">
        <x:f>'计划购电量'!D105-'计划购电量'!B105</x:f>
        <x:v>-1.6257217794191092e-11</x:v>
      </x:c>
      <x:c r="C105" s="27" t="n">
        <x:f>'计划购电量'!E105-'计划购电量'!B105</x:f>
        <x:v>7.958078640513122e-13</x:v>
      </x:c>
      <x:c r="D105" s="27" t="n">
        <x:f>'计划购电量'!F105-'计划购电量'!B105</x:f>
        <x:v>-7.958078640513122e-13</x:v>
      </x:c>
      <x:c r="E105" s="27" t="n">
        <x:f>'计划购电量'!G105-'计划购电量'!B105</x:f>
        <x:v>-1.1368683772161603e-13</x:v>
      </x:c>
      <x:c r="F105" s="27" t="n">
        <x:f>'计划购电量'!H105-'计划购电量'!B105</x:f>
        <x:v>0</x:v>
      </x:c>
      <x:c r="G105" s="27" t="n">
        <x:f>'计划购电量'!I105-'计划购电量'!B105</x:f>
        <x:v>-1.1368683772161603e-13</x:v>
      </x:c>
      <x:c r="H105" s="27" t="n">
        <x:f>'计划购电量'!J105-'计划购电量'!B105</x:f>
        <x:v>-4.547473508864641e-13</x:v>
      </x:c>
      <x:c r="I105" s="27" t="n">
        <x:f>'计划购电量'!K105-'计划购电量'!B105</x:f>
        <x:v>0</x:v>
      </x:c>
      <x:c r="J105" s="27" t="n">
        <x:f>'计划购电量'!L105-'计划购电量'!B105</x:f>
        <x:v>1.1368683772161603e-13</x:v>
      </x:c>
      <x:c r="K105" s="27" t="n">
        <x:f>'计划购电量'!M105-'计划购电量'!B105</x:f>
        <x:v>9.094947017729282e-13</x:v>
      </x:c>
      <x:c r="L105" s="27" t="n">
        <x:f>'计划购电量'!N105-'计划购电量'!B105</x:f>
        <x:v>3.922195901395753e-11</x:v>
      </x:c>
      <x:c r="M105" s="27" t="n">
        <x:f>'计划购电量'!O105-'计划购电量'!B105</x:f>
        <x:v>-1.4097167877480388e-11</x:v>
      </x:c>
      <x:c r="N105" s="27" t="n">
        <x:f>'计划购电量'!P105-'计划购电量'!B105</x:f>
        <x:v>5.684341886080801e-13</x:v>
      </x:c>
      <x:c r="O105" s="27" t="n">
        <x:f>'计划购电量'!Q105-'计划购电量'!B105</x:f>
        <x:v>7.958078640513122e-13</x:v>
      </x:c>
      <x:c r="P105" s="27" t="n">
        <x:f>'计划购电量'!R105-'计划购电量'!B105</x:f>
        <x:v>1.1368683772161603e-13</x:v>
      </x:c>
    </x:row>
    <x:row r="106" ht="25" customHeight="1">
      <x:c r="A106" s="27" t="str">
        <x:f>'计划购电量'!A106</x:f>
        <x:v>17:20-17:30</x:v>
      </x:c>
      <x:c r="B106" s="27" t="n">
        <x:f>'计划购电量'!D106-'计划购电量'!B106</x:f>
        <x:v>2.3874235921539366e-12</x:v>
      </x:c>
      <x:c r="C106" s="27" t="n">
        <x:f>'计划购电量'!E106-'计划购电量'!B106</x:f>
        <x:v>-3.410605131648481e-13</x:v>
      </x:c>
      <x:c r="D106" s="27" t="n">
        <x:f>'计划购电量'!F106-'计划购电量'!B106</x:f>
        <x:v>-7.958078640513122e-13</x:v>
      </x:c>
      <x:c r="E106" s="27" t="n">
        <x:f>'计划购电量'!G106-'计划购电量'!B106</x:f>
        <x:v>1.1368683772161603e-13</x:v>
      </x:c>
      <x:c r="F106" s="27" t="n">
        <x:f>'计划购电量'!H106-'计划购电量'!B106</x:f>
        <x:v>0</x:v>
      </x:c>
      <x:c r="G106" s="27" t="n">
        <x:f>'计划购电量'!I106-'计划购电量'!B106</x:f>
        <x:v>0</x:v>
      </x:c>
      <x:c r="H106" s="27" t="n">
        <x:f>'计划购电量'!J106-'计划购电量'!B106</x:f>
        <x:v>-7.958078640513122e-13</x:v>
      </x:c>
      <x:c r="I106" s="27" t="n">
        <x:f>'计划购电量'!K106-'计划购电量'!B106</x:f>
        <x:v>0</x:v>
      </x:c>
      <x:c r="J106" s="27" t="n">
        <x:f>'计划购电量'!L106-'计划购电量'!B106</x:f>
        <x:v>0</x:v>
      </x:c>
      <x:c r="K106" s="27" t="n">
        <x:f>'计划购电量'!M106-'计划购电量'!B106</x:f>
        <x:v>-2.3874235921539366e-12</x:v>
      </x:c>
      <x:c r="L106" s="27" t="n">
        <x:f>'计划购电量'!N106-'计划购电量'!B106</x:f>
        <x:v>-2.05773176276125e-11</x:v>
      </x:c>
      <x:c r="M106" s="27" t="n">
        <x:f>'计划购电量'!O106-'计划购电量'!B106</x:f>
        <x:v>3.54702933691442e-11</x:v>
      </x:c>
      <x:c r="N106" s="27" t="n">
        <x:f>'计划购电量'!P106-'计划购电量'!B106</x:f>
        <x:v>5.684341886080801e-13</x:v>
      </x:c>
      <x:c r="O106" s="27" t="n">
        <x:f>'计划购电量'!Q106-'计划购电量'!B106</x:f>
        <x:v>6.707523425575346e-12</x:v>
      </x:c>
      <x:c r="P106" s="27" t="n">
        <x:f>'计划购电量'!R106-'计划购电量'!B106</x:f>
        <x:v>1.1368683772161603e-13</x:v>
      </x:c>
    </x:row>
    <x:row r="107" ht="25" customHeight="1">
      <x:c r="A107" s="27" t="str">
        <x:f>'计划购电量'!A107</x:f>
        <x:v>17:30-17:40</x:v>
      </x:c>
      <x:c r="B107" s="27" t="n">
        <x:f>'计划购电量'!D107-'计划购电量'!B107</x:f>
        <x:v>-1.8758328224066645e-11</x:v>
      </x:c>
      <x:c r="C107" s="27" t="n">
        <x:f>'计划购电量'!E107-'计划购电量'!B107</x:f>
        <x:v>-2.2737367544323206e-13</x:v>
      </x:c>
      <x:c r="D107" s="27" t="n">
        <x:f>'计划购电量'!F107-'计划购电量'!B107</x:f>
        <x:v>-2.0463630789890885e-12</x:v>
      </x:c>
      <x:c r="E107" s="27" t="n">
        <x:f>'计划购电量'!G107-'计划购电量'!B107</x:f>
        <x:v>0</x:v>
      </x:c>
      <x:c r="F107" s="27" t="n">
        <x:f>'计划购电量'!H107-'计划购电量'!B107</x:f>
        <x:v>0</x:v>
      </x:c>
      <x:c r="G107" s="27" t="n">
        <x:f>'计划购电量'!I107-'计划购电量'!B107</x:f>
        <x:v>-1.1368683772161603e-13</x:v>
      </x:c>
      <x:c r="H107" s="27" t="n">
        <x:f>'计划购电量'!J107-'计划购电量'!B107</x:f>
        <x:v>-9.094947017729282e-13</x:v>
      </x:c>
      <x:c r="I107" s="27" t="n">
        <x:f>'计划购电量'!K107-'计划购电量'!B107</x:f>
        <x:v>-1.1368683772161603e-13</x:v>
      </x:c>
      <x:c r="J107" s="27" t="n">
        <x:f>'计划购电量'!L107-'计划购电量'!B107</x:f>
        <x:v>-2.0463630789890885e-12</x:v>
      </x:c>
      <x:c r="K107" s="27" t="n">
        <x:f>'计划购电量'!M107-'计划购电量'!B107</x:f>
        <x:v>-2.5011104298755527e-12</x:v>
      </x:c>
      <x:c r="L107" s="27" t="n">
        <x:f>'计划购电量'!N107-'计划购电量'!B107</x:f>
        <x:v>-2.1032064978498966e-11</x:v>
      </x:c>
      <x:c r="M107" s="27" t="n">
        <x:f>'计划购电量'!O107-'计划购电量'!B107</x:f>
        <x:v>-2.319211489520967e-11</x:v>
      </x:c>
      <x:c r="N107" s="27" t="n">
        <x:f>'计划购电量'!P107-'计划购电量'!B107</x:f>
        <x:v>7.958078640513122e-13</x:v>
      </x:c>
      <x:c r="O107" s="27" t="n">
        <x:f>'计划购电量'!Q107-'计划购电量'!B107</x:f>
        <x:v>-2.8421709430404007e-12</x:v>
      </x:c>
      <x:c r="P107" s="27" t="n">
        <x:f>'计划购电量'!R107-'计划购电量'!B107</x:f>
        <x:v>0</x:v>
      </x:c>
    </x:row>
    <x:row r="108" ht="25" customHeight="1">
      <x:c r="A108" s="27" t="str">
        <x:f>'计划购电量'!A108</x:f>
        <x:v>17:40-17:50</x:v>
      </x:c>
      <x:c r="B108" s="27" t="n">
        <x:f>'计划购电量'!D108-'计划购电量'!B108</x:f>
        <x:v>9.777068044058979e-12</x:v>
      </x:c>
      <x:c r="C108" s="27" t="n">
        <x:f>'计划购电量'!E108-'计划购电量'!B108</x:f>
        <x:v>5.684341886080801e-13</x:v>
      </x:c>
      <x:c r="D108" s="27" t="n">
        <x:f>'计划购电量'!F108-'计划购电量'!B108</x:f>
        <x:v>6.821210263296962e-13</x:v>
      </x:c>
      <x:c r="E108" s="27" t="n">
        <x:f>'计划购电量'!G108-'计划购电量'!B108</x:f>
        <x:v>6.821210263296962e-13</x:v>
      </x:c>
      <x:c r="F108" s="27" t="n">
        <x:f>'计划购电量'!H108-'计划购电量'!B108</x:f>
        <x:v>-69.2688930772847</x:v>
      </x:c>
      <x:c r="G108" s="27" t="n">
        <x:f>'计划购电量'!I108-'计划购电量'!B108</x:f>
        <x:v>0</x:v>
      </x:c>
      <x:c r="H108" s="27" t="n">
        <x:f>'计划购电量'!J108-'计划购电量'!B108</x:f>
        <x:v>1.1368683772161603e-13</x:v>
      </x:c>
      <x:c r="I108" s="27" t="n">
        <x:f>'计划购电量'!K108-'计划购电量'!B108</x:f>
        <x:v>-1.2505552149377763e-12</x:v>
      </x:c>
      <x:c r="J108" s="27" t="n">
        <x:f>'计划购电量'!L108-'计划购电量'!B108</x:f>
        <x:v>-1.1368683772161603e-12</x:v>
      </x:c>
      <x:c r="K108" s="27" t="n">
        <x:f>'计划购电量'!M108-'计划购电量'!B108</x:f>
        <x:v>-1.2505552149377763e-12</x:v>
      </x:c>
      <x:c r="L108" s="27" t="n">
        <x:f>'计划购电量'!N108-'计划购电量'!B108</x:f>
        <x:v>-6.821210263296962e-13</x:v>
      </x:c>
      <x:c r="M108" s="27" t="n">
        <x:f>'计划购电量'!O108-'计划购电量'!B108</x:f>
        <x:v>-9.094947017729282e-13</x:v>
      </x:c>
      <x:c r="N108" s="27" t="n">
        <x:f>'计划购电量'!P108-'计划购电量'!B108</x:f>
        <x:v>-9.094947017729282e-13</x:v>
      </x:c>
      <x:c r="O108" s="27" t="n">
        <x:f>'计划购电量'!Q108-'计划购电量'!B108</x:f>
        <x:v>-4.092726157978177e-12</x:v>
      </x:c>
      <x:c r="P108" s="27" t="n">
        <x:f>'计划购电量'!R108-'计划购电量'!B108</x:f>
        <x:v>-1.2505552149377763e-12</x:v>
      </x:c>
    </x:row>
    <x:row r="109" ht="25" customHeight="1">
      <x:c r="A109" s="27" t="str">
        <x:f>'计划购电量'!A109</x:f>
        <x:v>17:50-18:00</x:v>
      </x:c>
      <x:c r="B109" s="27" t="n">
        <x:f>'计划购电量'!D109-'计划购电量'!B109</x:f>
        <x:v>-1.1368683772161603e-12</x:v>
      </x:c>
      <x:c r="C109" s="27" t="n">
        <x:f>'计划购电量'!E109-'计划购电量'!B109</x:f>
        <x:v>0</x:v>
      </x:c>
      <x:c r="D109" s="27" t="n">
        <x:f>'计划购电量'!F109-'计划购电量'!B109</x:f>
        <x:v>-2.2737367544323206e-13</x:v>
      </x:c>
      <x:c r="E109" s="27" t="n">
        <x:f>'计划购电量'!G109-'计划购电量'!B109</x:f>
        <x:v>-2.2737367544323206e-13</x:v>
      </x:c>
      <x:c r="F109" s="27" t="n">
        <x:f>'计划购电量'!H109-'计划购电量'!B109</x:f>
        <x:v>-152.60222641061682</x:v>
      </x:c>
      <x:c r="G109" s="27" t="n">
        <x:f>'计划购电量'!I109-'计划购电量'!B109</x:f>
        <x:v>-2.2737367544323206e-13</x:v>
      </x:c>
      <x:c r="H109" s="27" t="n">
        <x:f>'计划购电量'!J109-'计划购电量'!B109</x:f>
        <x:v>-5.684341886080801e-13</x:v>
      </x:c>
      <x:c r="I109" s="27" t="n">
        <x:f>'计划购电量'!K109-'计划购电量'!B109</x:f>
        <x:v>-0.16666666666526453</x:v>
      </x:c>
      <x:c r="J109" s="27" t="n">
        <x:f>'计划购电量'!L109-'计划购电量'!B109</x:f>
        <x:v>0</x:v>
      </x:c>
      <x:c r="K109" s="27" t="n">
        <x:f>'计划购电量'!M109-'计划购电量'!B109</x:f>
        <x:v>-5.684341886080801e-13</x:v>
      </x:c>
      <x:c r="L109" s="27" t="n">
        <x:f>'计划购电量'!N109-'计划购电量'!B109</x:f>
        <x:v>2.6147972675971687e-12</x:v>
      </x:c>
      <x:c r="M109" s="27" t="n">
        <x:f>'计划购电量'!O109-'计划购电量'!B109</x:f>
        <x:v>2.2737367544323206e-13</x:v>
      </x:c>
      <x:c r="N109" s="27" t="n">
        <x:f>'计划购电量'!P109-'计划购电量'!B109</x:f>
        <x:v>1.2505552149377763e-12</x:v>
      </x:c>
      <x:c r="O109" s="27" t="n">
        <x:f>'计划购电量'!Q109-'计划购电量'!B109</x:f>
        <x:v>0</x:v>
      </x:c>
      <x:c r="P109" s="27" t="n">
        <x:f>'计划购电量'!R109-'计划购电量'!B109</x:f>
        <x:v>0</x:v>
      </x:c>
    </x:row>
    <x:row r="110" ht="25" customHeight="1">
      <x:c r="A110" s="27" t="str">
        <x:f>'计划购电量'!A110</x:f>
        <x:v>18:00-18:10</x:v>
      </x:c>
      <x:c r="B110" s="27" t="n">
        <x:f>'计划购电量'!D110-'计划购电量'!B110</x:f>
        <x:v>0.4927123014784911</x:v>
      </x:c>
      <x:c r="C110" s="27" t="n">
        <x:f>'计划购电量'!E110-'计划购电量'!B110</x:f>
        <x:v>-0.002591031853853565</x:v>
      </x:c>
      <x:c r="D110" s="27" t="n">
        <x:f>'计划购电量'!F110-'计划购电量'!B110</x:f>
        <x:v>-1.558594365188469</x:v>
      </x:c>
      <x:c r="E110" s="27" t="n">
        <x:f>'计划购电量'!G110-'计划购电量'!B110</x:f>
        <x:v>-3.828317698523392</x:v>
      </x:c>
      <x:c r="F110" s="27" t="n">
        <x:f>'计划购电量'!H110-'计划购电量'!B110</x:f>
        <x:v>-216.62447185215126</x:v>
      </x:c>
      <x:c r="G110" s="27" t="n">
        <x:f>'计划购电量'!I110-'计划购电量'!B110</x:f>
        <x:v>19.31108789179882</x:v>
      </x:c>
      <x:c r="H110" s="27" t="n">
        <x:f>'计划购电量'!J110-'计划购电量'!B110</x:f>
        <x:v>-0.002591031852375636</x:v>
      </x:c>
      <x:c r="I110" s="27" t="n">
        <x:f>'计划购电量'!K110-'计划购电量'!B110</x:f>
        <x:v>0.03074230147876733</x:v>
      </x:c>
      <x:c r="J110" s="27" t="n">
        <x:f>'计划购电量'!L110-'计划购电量'!B110</x:f>
        <x:v>-0.002591031855899928</x:v>
      </x:c>
      <x:c r="K110" s="27" t="n">
        <x:f>'计划购电量'!M110-'计划购电量'!B110</x:f>
        <x:v>-0.0025910318553314937</x:v>
      </x:c>
      <x:c r="L110" s="27" t="n">
        <x:f>'计划购电量'!N110-'计划购电量'!B110</x:f>
        <x:v>0.18733715846690302</x:v>
      </x:c>
      <x:c r="M110" s="27" t="n">
        <x:f>'计划购电量'!O110-'计划购电量'!B110</x:f>
        <x:v>-0.002591031854421999</x:v>
      </x:c>
      <x:c r="N110" s="27" t="n">
        <x:f>'计划购电量'!P110-'计划购电量'!B110</x:f>
        <x:v>0.4927123014776953</x:v>
      </x:c>
      <x:c r="O110" s="27" t="n">
        <x:f>'计划购电量'!Q110-'计划购电量'!B110</x:f>
        <x:v>0.4927123014786048</x:v>
      </x:c>
      <x:c r="P110" s="27" t="n">
        <x:f>'计划购电量'!R110-'计划购电量'!B110</x:f>
        <x:v>0.49271230147905953</x:v>
      </x:c>
    </x:row>
    <x:row r="111" ht="25" customHeight="1">
      <x:c r="A111" s="27" t="str">
        <x:f>'计划购电量'!A111</x:f>
        <x:v>18:10-18:20</x:v>
      </x:c>
      <x:c r="B111" s="27" t="n">
        <x:f>'计划购电量'!D111-'计划购电量'!B111</x:f>
        <x:v>0.49271230147905953</x:v>
      </x:c>
      <x:c r="C111" s="27" t="n">
        <x:f>'计划购电量'!E111-'计划购电量'!B111</x:f>
        <x:v>-0.002591031854535686</x:v>
      </x:c>
      <x:c r="D111" s="27" t="n">
        <x:f>'计划购电量'!F111-'计划购电量'!B111</x:f>
        <x:v>-1.5585943651872185</x:v>
      </x:c>
      <x:c r="E111" s="27" t="n">
        <x:f>'计划购电量'!G111-'计划购电量'!B111</x:f>
        <x:v>-3.8283176985207774</x:v>
      </x:c>
      <x:c r="F111" s="27" t="n">
        <x:f>'计划购电量'!H111-'计划购电量'!B111</x:f>
        <x:v>-133.2911385188176</x:v>
      </x:c>
      <x:c r="G111" s="27" t="n">
        <x:f>'计划购电量'!I111-'计划购电量'!B111</x:f>
        <x:v>185.97775455846698</x:v>
      </x:c>
      <x:c r="H111" s="27" t="n">
        <x:f>'计划购电量'!J111-'计划购电量'!B111</x:f>
        <x:v>-0.0025910318513524544</x:v>
      </x:c>
      <x:c r="I111" s="27" t="n">
        <x:f>'计划购电量'!K111-'计划购电量'!B111</x:f>
        <x:v>0.030742301479051548</x:v>
      </x:c>
      <x:c r="J111" s="27" t="n">
        <x:f>'计划购电量'!L111-'计划购电量'!B111</x:f>
        <x:v>-0.002591031854990433</x:v>
      </x:c>
      <x:c r="K111" s="27" t="n">
        <x:f>'计划购电量'!M111-'计划购电量'!B111</x:f>
        <x:v>-0.002591031854990433</x:v>
      </x:c>
      <x:c r="L111" s="27" t="n">
        <x:f>'计划购电量'!N111-'计划购电量'!B111</x:f>
        <x:v>0.18733715846724408</x:v>
      </x:c>
      <x:c r="M111" s="27" t="n">
        <x:f>'计划购电量'!O111-'计划购电量'!B111</x:f>
        <x:v>-0.002591031854024095</x:v>
      </x:c>
      <x:c r="N111" s="27" t="n">
        <x:f>'计划购电量'!P111-'计划购电量'!B111</x:f>
        <x:v>0.4927123014780932</x:v>
      </x:c>
      <x:c r="O111" s="27" t="n">
        <x:f>'计划购电量'!Q111-'计划购电量'!B111</x:f>
        <x:v>0.492712301478889</x:v>
      </x:c>
      <x:c r="P111" s="27" t="n">
        <x:f>'计划购电量'!R111-'计划购电量'!B111</x:f>
        <x:v>0.49271230147945744</x:v>
      </x:c>
    </x:row>
    <x:row r="112" ht="25" customHeight="1">
      <x:c r="A112" s="27" t="str">
        <x:f>'计划购电量'!A112</x:f>
        <x:v>18:20-18:30</x:v>
      </x:c>
      <x:c r="B112" s="27" t="n">
        <x:f>'计划购电量'!D112-'计划购电量'!B112</x:f>
        <x:v>0.4927123014796848</x:v>
      </x:c>
      <x:c r="C112" s="27" t="n">
        <x:f>'计划购电量'!E112-'计划购电量'!B112</x:f>
        <x:v>-0.0025910318541946253</x:v>
      </x:c>
      <x:c r="D112" s="27" t="n">
        <x:f>'计划购电量'!F112-'计划购电量'!B112</x:f>
        <x:v>-1.55859436518665</x:v>
      </x:c>
      <x:c r="E112" s="27" t="n">
        <x:f>'计划购电量'!G112-'计划购电量'!B112</x:f>
        <x:v>-3.828317698520209</x:v>
      </x:c>
      <x:c r="F112" s="27" t="n">
        <x:f>'计划购电量'!H112-'计划购电量'!B112</x:f>
        <x:v>-49.957805185483664</x:v>
      </x:c>
      <x:c r="G112" s="27" t="n">
        <x:f>'计划购电量'!I112-'计划购电量'!B112</x:f>
        <x:v>352.6444212251331</x:v>
      </x:c>
      <x:c r="H112" s="27" t="n">
        <x:f>'计划购电量'!J112-'计划购电量'!B112</x:f>
        <x:v>-0.00259103185078402</x:v>
      </x:c>
      <x:c r="I112" s="27" t="n">
        <x:f>'计划购电量'!K112-'计划购电量'!B112</x:f>
        <x:v>0.030742301479676826</x:v>
      </x:c>
      <x:c r="J112" s="27" t="n">
        <x:f>'计划购电量'!L112-'计划购电量'!B112</x:f>
        <x:v>-0.002591031854535686</x:v>
      </x:c>
      <x:c r="K112" s="27" t="n">
        <x:f>'计划购电量'!M112-'计划购电量'!B112</x:f>
        <x:v>-0.002591031854308312</x:v>
      </x:c>
      <x:c r="L112" s="27" t="n">
        <x:f>'计划购电量'!N112-'计划购电量'!B112</x:f>
        <x:v>0.18733715846786936</x:v>
      </x:c>
      <x:c r="M112" s="27" t="n">
        <x:f>'计划购电量'!O112-'计划购电量'!B112</x:f>
        <x:v>-0.0025910318533988175</x:v>
      </x:c>
      <x:c r="N112" s="27" t="n">
        <x:f>'计划购电量'!P112-'计划购电量'!B112</x:f>
        <x:v>0.49271230147866163</x:v>
      </x:c>
      <x:c r="O112" s="27" t="n">
        <x:f>'计划购电量'!Q112-'计划购电量'!B112</x:f>
        <x:v>0.49271230147945744</x:v>
      </x:c>
      <x:c r="P112" s="27" t="n">
        <x:f>'计划购电量'!R112-'计划购电量'!B112</x:f>
        <x:v>0.49271230148002587</x:v>
      </x:c>
    </x:row>
    <x:row r="113" ht="25" customHeight="1">
      <x:c r="A113" s="27" t="str">
        <x:f>'计划购电量'!A113</x:f>
        <x:v>18:30-18:40</x:v>
      </x:c>
      <x:c r="B113" s="27" t="n">
        <x:f>'计划购电量'!D113-'计划购电量'!B113</x:f>
        <x:v>0.4927123014791732</x:v>
      </x:c>
      <x:c r="C113" s="27" t="n">
        <x:f>'计划购电量'!E113-'计划购电量'!B113</x:f>
        <x:v>-0.0025910318542798905</x:v>
      </x:c>
      <x:c r="D113" s="27" t="n">
        <x:f>'计划购电量'!F113-'计划购电量'!B113</x:f>
        <x:v>-1.5585943651871332</x:v>
      </x:c>
      <x:c r="E113" s="27" t="n">
        <x:f>'计划购电量'!G113-'计划购电量'!B113</x:f>
        <x:v>-3.828317698520749</x:v>
      </x:c>
      <x:c r="F113" s="27" t="n">
        <x:f>'计划购电量'!H113-'计划购电量'!B113</x:f>
        <x:v>33.37552814784917</x:v>
      </x:c>
      <x:c r="G113" s="27" t="n">
        <x:f>'计划购电量'!I113-'计划购电量'!B113</x:f>
        <x:v>187.52064891599926</x:v>
      </x:c>
      <x:c r="H113" s="27" t="n">
        <x:f>'计划购电量'!J113-'计划购电量'!B113</x:f>
        <x:v>-0.0025910318512671893</x:v>
      </x:c>
      <x:c r="I113" s="27" t="n">
        <x:f>'计划购电量'!K113-'计划购电量'!B113</x:f>
        <x:v>0.030742301479193657</x:v>
      </x:c>
      <x:c r="J113" s="27" t="n">
        <x:f>'计划购电量'!L113-'计划购电量'!B113</x:f>
        <x:v>-0.0025910318550756983</x:v>
      </x:c>
      <x:c r="K113" s="27" t="n">
        <x:f>'计划购电量'!M113-'计划购电量'!B113</x:f>
        <x:v>-0.0025910318547914812</x:v>
      </x:c>
      <x:c r="L113" s="27" t="n">
        <x:f>'计划购电量'!N113-'计划购电量'!B113</x:f>
        <x:v>0.18733715846735777</x:v>
      </x:c>
      <x:c r="M113" s="27" t="n">
        <x:f>'计划购电量'!O113-'计划购电量'!B113</x:f>
        <x:v>-0.00259103185393883</x:v>
      </x:c>
      <x:c r="N113" s="27" t="n">
        <x:f>'计划购电量'!P113-'计划购电量'!B113</x:f>
        <x:v>0.49271230147815004</x:v>
      </x:c>
      <x:c r="O113" s="27" t="n">
        <x:f>'计划购电量'!Q113-'计划购电量'!B113</x:f>
        <x:v>0.4927123014788606</x:v>
      </x:c>
      <x:c r="P113" s="27" t="n">
        <x:f>'计划购电量'!R113-'计划购电量'!B113</x:f>
        <x:v>0.4927123014795143</x:v>
      </x:c>
    </x:row>
    <x:row r="114" ht="25" customHeight="1">
      <x:c r="A114" s="27" t="str">
        <x:f>'计划购电量'!A114</x:f>
        <x:v>18:40-18:50</x:v>
      </x:c>
      <x:c r="B114" s="27" t="n">
        <x:f>'计划购电量'!D114-'计划购电量'!B114</x:f>
        <x:v>0.4927123014791732</x:v>
      </x:c>
      <x:c r="C114" s="27" t="n">
        <x:f>'计划购电量'!E114-'计划购电量'!B114</x:f>
        <x:v>-0.002591031855661896</x:v>
      </x:c>
      <x:c r="D114" s="27" t="n">
        <x:f>'计划购电量'!F114-'计划购电量'!B114</x:f>
        <x:v>-1.558594365187144</x:v>
      </x:c>
      <x:c r="E114" s="27" t="n">
        <x:f>'计划购电量'!G114-'计划购电量'!B114</x:f>
        <x:v>-3.8283176985207383</x:v>
      </x:c>
      <x:c r="F114" s="27" t="n">
        <x:f>'计划购电量'!H114-'计划购电量'!B114</x:f>
        <x:v>116.70886148118247</x:v>
      </x:c>
      <x:c r="G114" s="27" t="n">
        <x:f>'计划购电量'!I114-'计划购电量'!B114</x:f>
        <x:v>20.85398224933257</x:v>
      </x:c>
      <x:c r="H114" s="27" t="n">
        <x:f>'计划购电量'!J114-'计划购电量'!B114</x:f>
        <x:v>-0.002591031851295611</x:v>
      </x:c>
      <x:c r="I114" s="27" t="n">
        <x:f>'计划购电量'!K114-'计划购电量'!B114</x:f>
        <x:v>0.03074230147922208</x:v>
      </x:c>
      <x:c r="J114" s="27" t="n">
        <x:f>'计划购电量'!L114-'计划购电量'!B114</x:f>
        <x:v>-0.00259103185506504</x:v>
      </x:c>
      <x:c r="K114" s="27" t="n">
        <x:f>'计划购电量'!M114-'计划购电量'!B114</x:f>
        <x:v>-0.0025910318548021394</x:v>
      </x:c>
      <x:c r="L114" s="27" t="n">
        <x:f>'计划购电量'!N114-'计划购电量'!B114</x:f>
        <x:v>0.18733715846734356</x:v>
      </x:c>
      <x:c r="M114" s="27" t="n">
        <x:f>'计划购电量'!O114-'计划购电量'!B114</x:f>
        <x:v>-0.002591031853928172</x:v>
      </x:c>
      <x:c r="N114" s="27" t="n">
        <x:f>'计划购电量'!P114-'计划购电量'!B114</x:f>
        <x:v>0.4927123014780541</x:v>
      </x:c>
      <x:c r="O114" s="27" t="n">
        <x:f>'计划购电量'!Q114-'计划购电量'!B114</x:f>
        <x:v>0.49271230147887124</x:v>
      </x:c>
      <x:c r="P114" s="27" t="n">
        <x:f>'计划购电量'!R114-'计划购电量'!B114</x:f>
        <x:v>0.4927123014795143</x:v>
      </x:c>
    </x:row>
    <x:row r="115" ht="25" customHeight="1">
      <x:c r="A115" s="27" t="str">
        <x:f>'计划购电量'!A115</x:f>
        <x:v>18:50-19:00</x:v>
      </x:c>
      <x:c r="B115" s="27" t="n">
        <x:f>'计划购电量'!D115-'计划购电量'!B115</x:f>
        <x:v>0</x:v>
      </x:c>
      <x:c r="C115" s="27" t="n">
        <x:f>'计划购电量'!E115-'计划购电量'!B115</x:f>
        <x:v>0</x:v>
      </x:c>
      <x:c r="D115" s="27" t="n">
        <x:f>'计划购电量'!F115-'计划购电量'!B115</x:f>
        <x:v>0</x:v>
      </x:c>
      <x:c r="E115" s="27" t="n">
        <x:f>'计划购电量'!G115-'计划购电量'!B115</x:f>
        <x:v>0</x:v>
      </x:c>
      <x:c r="F115" s="27" t="n">
        <x:f>'计划购电量'!H115-'计划购电量'!B115</x:f>
        <x:v>53.88180692271648</x:v>
      </x:c>
      <x:c r="G115" s="27" t="n">
        <x:f>'计划购电量'!I115-'计划购电量'!B115</x:f>
        <x:v>0</x:v>
      </x:c>
      <x:c r="H115" s="27" t="n">
        <x:f>'计划购电量'!J115-'计划购电量'!B115</x:f>
        <x:v>0</x:v>
      </x:c>
      <x:c r="I115" s="27" t="n">
        <x:f>'计划购电量'!K115-'计划购电量'!B115</x:f>
        <x:v>0</x:v>
      </x:c>
      <x:c r="J115" s="27" t="n">
        <x:f>'计划购电量'!L115-'计划购电量'!B115</x:f>
        <x:v>0</x:v>
      </x:c>
      <x:c r="K115" s="27" t="n">
        <x:f>'计划购电量'!M115-'计划购电量'!B115</x:f>
        <x:v>0</x:v>
      </x:c>
      <x:c r="L115" s="27" t="n">
        <x:f>'计划购电量'!N115-'计划购电量'!B115</x:f>
        <x:v>0</x:v>
      </x:c>
      <x:c r="M115" s="27" t="n">
        <x:f>'计划购电量'!O115-'计划购电量'!B115</x:f>
        <x:v>0</x:v>
      </x:c>
      <x:c r="N115" s="27" t="n">
        <x:f>'计划购电量'!P115-'计划购电量'!B115</x:f>
        <x:v>0</x:v>
      </x:c>
      <x:c r="O115" s="27" t="n">
        <x:f>'计划购电量'!Q115-'计划购电量'!B115</x:f>
        <x:v>0</x:v>
      </x:c>
      <x:c r="P115" s="27" t="n">
        <x:f>'计划购电量'!R115-'计划购电量'!B115</x:f>
        <x:v>0</x:v>
      </x:c>
    </x:row>
    <x:row r="116" ht="25" customHeight="1">
      <x:c r="A116" s="27" t="str">
        <x:f>'计划购电量'!A116</x:f>
        <x:v>19:00-19:10</x:v>
      </x:c>
      <x:c r="B116" s="27" t="n">
        <x:f>'计划购电量'!D116-'计划购电量'!B116</x:f>
        <x:v>0</x:v>
      </x:c>
      <x:c r="C116" s="27" t="n">
        <x:f>'计划购电量'!E116-'计划购电量'!B116</x:f>
        <x:v>0</x:v>
      </x:c>
      <x:c r="D116" s="27" t="n">
        <x:f>'计划购电量'!F116-'计划购电量'!B116</x:f>
        <x:v>0</x:v>
      </x:c>
      <x:c r="E116" s="27" t="n">
        <x:f>'计划购电量'!G116-'计划购电量'!B116</x:f>
        <x:v>0</x:v>
      </x:c>
      <x:c r="F116" s="27" t="n">
        <x:f>'计划购电量'!H116-'计划购电量'!B116</x:f>
        <x:v>0</x:v>
      </x:c>
      <x:c r="G116" s="27" t="n">
        <x:f>'计划购电量'!I116-'计划购电量'!B116</x:f>
        <x:v>0</x:v>
      </x:c>
      <x:c r="H116" s="27" t="n">
        <x:f>'计划购电量'!J116-'计划购电量'!B116</x:f>
        <x:v>0</x:v>
      </x:c>
      <x:c r="I116" s="27" t="n">
        <x:f>'计划购电量'!K116-'计划购电量'!B116</x:f>
        <x:v>0</x:v>
      </x:c>
      <x:c r="J116" s="27" t="n">
        <x:f>'计划购电量'!L116-'计划购电量'!B116</x:f>
        <x:v>0</x:v>
      </x:c>
      <x:c r="K116" s="27" t="n">
        <x:f>'计划购电量'!M116-'计划购电量'!B116</x:f>
        <x:v>0</x:v>
      </x:c>
      <x:c r="L116" s="27" t="n">
        <x:f>'计划购电量'!N116-'计划购电量'!B116</x:f>
        <x:v>0</x:v>
      </x:c>
      <x:c r="M116" s="27" t="n">
        <x:f>'计划购电量'!O116-'计划购电量'!B116</x:f>
        <x:v>0</x:v>
      </x:c>
      <x:c r="N116" s="27" t="n">
        <x:f>'计划购电量'!P116-'计划购电量'!B116</x:f>
        <x:v>0</x:v>
      </x:c>
      <x:c r="O116" s="27" t="n">
        <x:f>'计划购电量'!Q116-'计划购电量'!B116</x:f>
        <x:v>0</x:v>
      </x:c>
      <x:c r="P116" s="27" t="n">
        <x:f>'计划购电量'!R116-'计划购电量'!B116</x:f>
        <x:v>0</x:v>
      </x:c>
    </x:row>
    <x:row r="117" ht="25" customHeight="1">
      <x:c r="A117" s="27" t="str">
        <x:f>'计划购电量'!A117</x:f>
        <x:v>19:10-19:20</x:v>
      </x:c>
      <x:c r="B117" s="27" t="n">
        <x:f>'计划购电量'!D117-'计划购电量'!B117</x:f>
        <x:v>0</x:v>
      </x:c>
      <x:c r="C117" s="27" t="n">
        <x:f>'计划购电量'!E117-'计划购电量'!B117</x:f>
        <x:v>0</x:v>
      </x:c>
      <x:c r="D117" s="27" t="n">
        <x:f>'计划购电量'!F117-'计划购电量'!B117</x:f>
        <x:v>0</x:v>
      </x:c>
      <x:c r="E117" s="27" t="n">
        <x:f>'计划购电量'!G117-'计划购电量'!B117</x:f>
        <x:v>1.146533333333385</x:v>
      </x:c>
      <x:c r="F117" s="27" t="n">
        <x:f>'计划购电量'!H117-'计划购电量'!B117</x:f>
        <x:v>0</x:v>
      </x:c>
      <x:c r="G117" s="27" t="n">
        <x:f>'计划购电量'!I117-'计划购电量'!B117</x:f>
        <x:v>0</x:v>
      </x:c>
      <x:c r="H117" s="27" t="n">
        <x:f>'计划购电量'!J117-'计划购电量'!B117</x:f>
        <x:v>0</x:v>
      </x:c>
      <x:c r="I117" s="27" t="n">
        <x:f>'计划购电量'!K117-'计划购电量'!B117</x:f>
        <x:v>0</x:v>
      </x:c>
      <x:c r="J117" s="27" t="n">
        <x:f>'计划购电量'!L117-'计划购电量'!B117</x:f>
        <x:v>0</x:v>
      </x:c>
      <x:c r="K117" s="27" t="n">
        <x:f>'计划购电量'!M117-'计划购电量'!B117</x:f>
        <x:v>0</x:v>
      </x:c>
      <x:c r="L117" s="27" t="n">
        <x:f>'计划购电量'!N117-'计划购电量'!B117</x:f>
        <x:v>0</x:v>
      </x:c>
      <x:c r="M117" s="27" t="n">
        <x:f>'计划购电量'!O117-'计划购电量'!B117</x:f>
        <x:v>0</x:v>
      </x:c>
      <x:c r="N117" s="27" t="n">
        <x:f>'计划购电量'!P117-'计划购电量'!B117</x:f>
        <x:v>0</x:v>
      </x:c>
      <x:c r="O117" s="27" t="n">
        <x:f>'计划购电量'!Q117-'计划购电量'!B117</x:f>
        <x:v>0</x:v>
      </x:c>
      <x:c r="P117" s="27" t="n">
        <x:f>'计划购电量'!R117-'计划购电量'!B117</x:f>
        <x:v>0</x:v>
      </x:c>
    </x:row>
    <x:row r="118" ht="25" customHeight="1">
      <x:c r="A118" s="27" t="str">
        <x:f>'计划购电量'!A118</x:f>
        <x:v>19:20-19:30</x:v>
      </x:c>
      <x:c r="B118" s="27" t="n">
        <x:f>'计划购电量'!D118-'计划购电量'!B118</x:f>
        <x:v>0</x:v>
      </x:c>
      <x:c r="C118" s="27" t="n">
        <x:f>'计划购电量'!E118-'计划购电量'!B118</x:f>
        <x:v>0</x:v>
      </x:c>
      <x:c r="D118" s="27" t="n">
        <x:f>'计划购电量'!F118-'计划购电量'!B118</x:f>
        <x:v>0</x:v>
      </x:c>
      <x:c r="E118" s="27" t="n">
        <x:f>'计划购电量'!G118-'计划购电量'!B118</x:f>
        <x:v>2.040416666666715</x:v>
      </x:c>
      <x:c r="F118" s="27" t="n">
        <x:f>'计划购电量'!H118-'计划购电量'!B118</x:f>
        <x:v>0</x:v>
      </x:c>
      <x:c r="G118" s="27" t="n">
        <x:f>'计划购电量'!I118-'计划购电量'!B118</x:f>
        <x:v>0</x:v>
      </x:c>
      <x:c r="H118" s="27" t="n">
        <x:f>'计划购电量'!J118-'计划购电量'!B118</x:f>
        <x:v>0</x:v>
      </x:c>
      <x:c r="I118" s="27" t="n">
        <x:f>'计划购电量'!K118-'计划购电量'!B118</x:f>
        <x:v>0</x:v>
      </x:c>
      <x:c r="J118" s="27" t="n">
        <x:f>'计划购电量'!L118-'计划购电量'!B118</x:f>
        <x:v>0</x:v>
      </x:c>
      <x:c r="K118" s="27" t="n">
        <x:f>'计划购电量'!M118-'计划购电量'!B118</x:f>
        <x:v>0</x:v>
      </x:c>
      <x:c r="L118" s="27" t="n">
        <x:f>'计划购电量'!N118-'计划购电量'!B118</x:f>
        <x:v>0</x:v>
      </x:c>
      <x:c r="M118" s="27" t="n">
        <x:f>'计划购电量'!O118-'计划购电量'!B118</x:f>
        <x:v>0</x:v>
      </x:c>
      <x:c r="N118" s="27" t="n">
        <x:f>'计划购电量'!P118-'计划购电量'!B118</x:f>
        <x:v>0</x:v>
      </x:c>
      <x:c r="O118" s="27" t="n">
        <x:f>'计划购电量'!Q118-'计划购电量'!B118</x:f>
        <x:v>0</x:v>
      </x:c>
      <x:c r="P118" s="27" t="n">
        <x:f>'计划购电量'!R118-'计划购电量'!B118</x:f>
        <x:v>0</x:v>
      </x:c>
    </x:row>
    <x:row r="119" ht="25" customHeight="1">
      <x:c r="A119" s="27" t="str">
        <x:f>'计划购电量'!A119</x:f>
        <x:v>19:30-19:40</x:v>
      </x:c>
      <x:c r="B119" s="27" t="n">
        <x:f>'计划购电量'!D119-'计划购电量'!B119</x:f>
        <x:v>0</x:v>
      </x:c>
      <x:c r="C119" s="27" t="n">
        <x:f>'计划购电量'!E119-'计划购电量'!B119</x:f>
        <x:v>0</x:v>
      </x:c>
      <x:c r="D119" s="27" t="n">
        <x:f>'计划购电量'!F119-'计划购电量'!B119</x:f>
        <x:v>1.7855666666666061</x:v>
      </x:c>
      <x:c r="E119" s="27" t="n">
        <x:f>'计划购电量'!G119-'计划购电量'!B119</x:f>
        <x:v>3.8259833333333213</x:v>
      </x:c>
      <x:c r="F119" s="27" t="n">
        <x:f>'计划购电量'!H119-'计划购电量'!B119</x:f>
        <x:v>1.7855666666666061</x:v>
      </x:c>
      <x:c r="G119" s="27" t="n">
        <x:f>'计划购电量'!I119-'计划购电量'!B119</x:f>
        <x:v>0</x:v>
      </x:c>
      <x:c r="H119" s="27" t="n">
        <x:f>'计划购电量'!J119-'计划购电量'!B119</x:f>
        <x:v>0</x:v>
      </x:c>
      <x:c r="I119" s="27" t="n">
        <x:f>'计划购电量'!K119-'计划购电量'!B119</x:f>
        <x:v>0</x:v>
      </x:c>
      <x:c r="J119" s="27" t="n">
        <x:f>'计划购电量'!L119-'计划购电量'!B119</x:f>
        <x:v>0</x:v>
      </x:c>
      <x:c r="K119" s="27" t="n">
        <x:f>'计划购电量'!M119-'计划购电量'!B119</x:f>
        <x:v>0</x:v>
      </x:c>
      <x:c r="L119" s="27" t="n">
        <x:f>'计划购电量'!N119-'计划购电量'!B119</x:f>
        <x:v>0</x:v>
      </x:c>
      <x:c r="M119" s="27" t="n">
        <x:f>'计划购电量'!O119-'计划购电量'!B119</x:f>
        <x:v>0</x:v>
      </x:c>
      <x:c r="N119" s="27" t="n">
        <x:f>'计划购电量'!P119-'计划购电量'!B119</x:f>
        <x:v>0</x:v>
      </x:c>
      <x:c r="O119" s="27" t="n">
        <x:f>'计划购电量'!Q119-'计划购电量'!B119</x:f>
        <x:v>0</x:v>
      </x:c>
      <x:c r="P119" s="27" t="n">
        <x:f>'计划购电量'!R119-'计划购电量'!B119</x:f>
        <x:v>0</x:v>
      </x:c>
    </x:row>
    <x:row r="120" ht="25" customHeight="1">
      <x:c r="A120" s="27" t="str">
        <x:f>'计划购电量'!A120</x:f>
        <x:v>19:40-19:50</x:v>
      </x:c>
      <x:c r="B120" s="27" t="n">
        <x:f>'计划购电量'!D120-'计划购电量'!B120</x:f>
        <x:v>-0.2174666666667993</x:v>
      </x:c>
      <x:c r="C120" s="27" t="n">
        <x:f>'计划购电量'!E120-'计划购电量'!B120</x:f>
        <x:v>0</x:v>
      </x:c>
      <x:c r="D120" s="27" t="n">
        <x:f>'计划购电量'!F120-'计划购电量'!B120</x:f>
        <x:v>1.9981499999998957</x:v>
      </x:c>
      <x:c r="E120" s="27" t="n">
        <x:f>'计划购电量'!G120-'计划购电量'!B120</x:f>
        <x:v>4.038566666666611</x:v>
      </x:c>
      <x:c r="F120" s="27" t="n">
        <x:f>'计划购电量'!H120-'计划购电量'!B120</x:f>
        <x:v>1.9981499999998957</x:v>
      </x:c>
      <x:c r="G120" s="27" t="n">
        <x:f>'计划购电量'!I120-'计划购电量'!B120</x:f>
        <x:v>-0.2174666666667993</x:v>
      </x:c>
      <x:c r="H120" s="27" t="n">
        <x:f>'计划购电量'!J120-'计划购电量'!B120</x:f>
        <x:v>0</x:v>
      </x:c>
      <x:c r="I120" s="27" t="n">
        <x:f>'计划购电量'!K120-'计划购电量'!B120</x:f>
        <x:v>0</x:v>
      </x:c>
      <x:c r="J120" s="27" t="n">
        <x:f>'计划购电量'!L120-'计划购电量'!B120</x:f>
        <x:v>0</x:v>
      </x:c>
      <x:c r="K120" s="27" t="n">
        <x:f>'计划购电量'!M120-'计划购电量'!B120</x:f>
        <x:v>0</x:v>
      </x:c>
      <x:c r="L120" s="27" t="n">
        <x:f>'计划购电量'!N120-'计划购电量'!B120</x:f>
        <x:v>0</x:v>
      </x:c>
      <x:c r="M120" s="27" t="n">
        <x:f>'计划购电量'!O120-'计划购电量'!B120</x:f>
        <x:v>0</x:v>
      </x:c>
      <x:c r="N120" s="27" t="n">
        <x:f>'计划购电量'!P120-'计划购电量'!B120</x:f>
        <x:v>-0.2174666666667993</x:v>
      </x:c>
      <x:c r="O120" s="27" t="n">
        <x:f>'计划购电量'!Q120-'计划购电量'!B120</x:f>
        <x:v>-0.2174666666667993</x:v>
      </x:c>
      <x:c r="P120" s="27" t="n">
        <x:f>'计划购电量'!R120-'计划购电量'!B120</x:f>
        <x:v>-0.2174666666667993</x:v>
      </x:c>
    </x:row>
    <x:row r="121" ht="25" customHeight="1">
      <x:c r="A121" s="27" t="str">
        <x:f>'计划购电量'!A121</x:f>
        <x:v>19:50-20:00</x:v>
      </x:c>
      <x:c r="B121" s="27" t="n">
        <x:f>'计划购电量'!D121-'计划购电量'!B121</x:f>
        <x:v>0</x:v>
      </x:c>
      <x:c r="C121" s="27" t="n">
        <x:f>'计划购电量'!E121-'计划购电量'!B121</x:f>
        <x:v>0</x:v>
      </x:c>
      <x:c r="D121" s="27" t="n">
        <x:f>'计划购电量'!F121-'计划购电量'!B121</x:f>
        <x:v>1.998149999999896</x:v>
      </x:c>
      <x:c r="E121" s="27" t="n">
        <x:f>'计划购电量'!G121-'计划购电量'!B121</x:f>
        <x:v>4.038566666666611</x:v>
      </x:c>
      <x:c r="F121" s="27" t="n">
        <x:f>'计划购电量'!H121-'计划购电量'!B121</x:f>
        <x:v>85.33148333333322</x:v>
      </x:c>
      <x:c r="G121" s="27" t="n">
        <x:f>'计划购电量'!I121-'计划购电量'!B121</x:f>
        <x:v>0</x:v>
      </x:c>
      <x:c r="H121" s="27" t="n">
        <x:f>'计划购电量'!J121-'计划购电量'!B121</x:f>
        <x:v>0</x:v>
      </x:c>
      <x:c r="I121" s="27" t="n">
        <x:f>'计划购电量'!K121-'计划购电量'!B121</x:f>
        <x:v>0</x:v>
      </x:c>
      <x:c r="J121" s="27" t="n">
        <x:f>'计划购电量'!L121-'计划购电量'!B121</x:f>
        <x:v>0</x:v>
      </x:c>
      <x:c r="K121" s="27" t="n">
        <x:f>'计划购电量'!M121-'计划购电量'!B121</x:f>
        <x:v>0</x:v>
      </x:c>
      <x:c r="L121" s="27" t="n">
        <x:f>'计划购电量'!N121-'计划购电量'!B121</x:f>
        <x:v>0</x:v>
      </x:c>
      <x:c r="M121" s="27" t="n">
        <x:f>'计划购电量'!O121-'计划购电量'!B121</x:f>
        <x:v>0</x:v>
      </x:c>
      <x:c r="N121" s="27" t="n">
        <x:f>'计划购电量'!P121-'计划购电量'!B121</x:f>
        <x:v>0</x:v>
      </x:c>
      <x:c r="O121" s="27" t="n">
        <x:f>'计划购电量'!Q121-'计划购电量'!B121</x:f>
        <x:v>0</x:v>
      </x:c>
      <x:c r="P121" s="27" t="n">
        <x:f>'计划购电量'!R121-'计划购电量'!B121</x:f>
        <x:v>0</x:v>
      </x:c>
    </x:row>
    <x:row r="122" ht="25" customHeight="1">
      <x:c r="A122" s="27" t="str">
        <x:f>'计划购电量'!A122</x:f>
        <x:v>20:00-20:10</x:v>
      </x:c>
      <x:c r="B122" s="27" t="n">
        <x:f>'计划购电量'!D122-'计划购电量'!B122</x:f>
        <x:v>-2.246094840732019</x:v>
      </x:c>
      <x:c r="C122" s="27" t="n">
        <x:f>'计划购电量'!E122-'计划购电量'!B122</x:f>
        <x:v>0.012955159268096761</x:v>
      </x:c>
      <x:c r="D122" s="27" t="n">
        <x:f>'计划购电量'!F122-'计划购电量'!B122</x:f>
        <x:v>2.0111051592679927</x:v>
      </x:c>
      <x:c r="E122" s="27" t="n">
        <x:f>'计划购电量'!G122-'计划购电量'!B122</x:f>
        <x:v>4.051521825934708</x:v>
      </x:c>
      <x:c r="F122" s="27" t="n">
        <x:f>'计划购电量'!H122-'计划购电量'!B122</x:f>
        <x:v>168.67777182593466</x:v>
      </x:c>
      <x:c r="G122" s="27" t="n">
        <x:f>'计划购电量'!I122-'计划购电量'!B122</x:f>
        <x:v>-2.246094840732019</x:v>
      </x:c>
      <x:c r="H122" s="27" t="n">
        <x:f>'计划购电量'!J122-'计划购电量'!B122</x:f>
        <x:v>0.012955159268096761</x:v>
      </x:c>
      <x:c r="I122" s="27" t="n">
        <x:f>'计划购电量'!K122-'计划购电量'!B122</x:f>
        <x:v>0.012955159268096761</x:v>
      </x:c>
      <x:c r="J122" s="27" t="n">
        <x:f>'计划购电量'!L122-'计划购电量'!B122</x:f>
        <x:v>0.012955159268096761</x:v>
      </x:c>
      <x:c r="K122" s="27" t="n">
        <x:f>'计划购电量'!M122-'计划购电量'!B122</x:f>
        <x:v>0.012955159268096761</x:v>
      </x:c>
      <x:c r="L122" s="27" t="n">
        <x:f>'计划购电量'!N122-'计划购电量'!B122</x:f>
        <x:v>-0.9366857923373701</x:v>
      </x:c>
      <x:c r="M122" s="27" t="n">
        <x:f>'计划购电量'!O122-'计划购电量'!B122</x:f>
        <x:v>0.012955159268096761</x:v>
      </x:c>
      <x:c r="N122" s="27" t="n">
        <x:f>'计划购电量'!P122-'计划购电量'!B122</x:f>
        <x:v>-2.246094840732019</x:v>
      </x:c>
      <x:c r="O122" s="27" t="n">
        <x:f>'计划购电量'!Q122-'计划购电量'!B122</x:f>
        <x:v>-2.246094840732019</x:v>
      </x:c>
      <x:c r="P122" s="27" t="n">
        <x:f>'计划购电量'!R122-'计划购电量'!B122</x:f>
        <x:v>-2.246094840732019</x:v>
      </x:c>
    </x:row>
    <x:row r="123" ht="25" customHeight="1">
      <x:c r="A123" s="27" t="str">
        <x:f>'计划购电量'!A123</x:f>
        <x:v>20:10-20:20</x:v>
      </x:c>
      <x:c r="B123" s="27" t="n">
        <x:f>'计划购电量'!D123-'计划购电量'!B123</x:f>
        <x:v>1.1368683772161603e-12</x:v>
      </x:c>
      <x:c r="C123" s="27" t="n">
        <x:f>'计划购电量'!E123-'计划购电量'!B123</x:f>
        <x:v>5.258016244624741e-13</x:v>
      </x:c>
      <x:c r="D123" s="27" t="n">
        <x:f>'计划购电量'!F123-'计划购电量'!B123</x:f>
        <x:v>5.258016244624741e-13</x:v>
      </x:c>
      <x:c r="E123" s="27" t="n">
        <x:f>'计划购电量'!G123-'计划购电量'!B123</x:f>
        <x:v>5.258016244624741e-13</x:v>
      </x:c>
      <x:c r="F123" s="27" t="n">
        <x:f>'计划购电量'!H123-'计划购电量'!B123</x:f>
        <x:v>207.21978333333382</x:v>
      </x:c>
      <x:c r="G123" s="27" t="n">
        <x:f>'计划购电量'!I123-'计划购电量'!B123</x:f>
        <x:v>-48.61748333333276</x:v>
      </x:c>
      <x:c r="H123" s="27" t="n">
        <x:f>'计划购电量'!J123-'计划购电量'!B123</x:f>
        <x:v>3.765876499528531e-13</x:v>
      </x:c>
      <x:c r="I123" s="27" t="n">
        <x:f>'计划购电量'!K123-'计划购电量'!B123</x:f>
        <x:v>5.258016244624741e-13</x:v>
      </x:c>
      <x:c r="J123" s="27" t="n">
        <x:f>'计划购电量'!L123-'计划购电量'!B123</x:f>
        <x:v>2.6503244043851737e-12</x:v>
      </x:c>
      <x:c r="K123" s="27" t="n">
        <x:f>'计划购电量'!M123-'计划购电量'!B123</x:f>
        <x:v>2.0463630789890885e-12</x:v>
      </x:c>
      <x:c r="L123" s="27" t="n">
        <x:f>'计划购电量'!N123-'计划购电量'!B123</x:f>
        <x:v>5.258016244624741e-13</x:v>
      </x:c>
      <x:c r="M123" s="27" t="n">
        <x:f>'计划购电量'!O123-'计划购电量'!B123</x:f>
        <x:v>3.765876499528531e-13</x:v>
      </x:c>
      <x:c r="N123" s="27" t="n">
        <x:f>'计划购电量'!P123-'计划购电量'!B123</x:f>
        <x:v>9.805489753489383e-13</x:v>
      </x:c>
      <x:c r="O123" s="27" t="n">
        <x:f>'计划购电量'!Q123-'计划购电量'!B123</x:f>
        <x:v>8.313350008393172e-13</x:v>
      </x:c>
      <x:c r="P123" s="27" t="n">
        <x:f>'计划购电量'!R123-'计划购电量'!B123</x:f>
        <x:v>5.258016244624741e-13</x:v>
      </x:c>
    </x:row>
    <x:row r="124" ht="25" customHeight="1">
      <x:c r="A124" s="27" t="str">
        <x:f>'计划购电量'!A124</x:f>
        <x:v>20:20-20:30</x:v>
      </x:c>
      <x:c r="B124" s="27" t="n">
        <x:f>'计划购电量'!D124-'计划购电量'!B124</x:f>
        <x:v>1.1368683772161603e-12</x:v>
      </x:c>
      <x:c r="C124" s="27" t="n">
        <x:f>'计划购电量'!E124-'计划购电量'!B124</x:f>
        <x:v>5.400124791776761e-13</x:v>
      </x:c>
      <x:c r="D124" s="27" t="n">
        <x:f>'计划购电量'!F124-'计划购电量'!B124</x:f>
        <x:v>5.400124791776761e-13</x:v>
      </x:c>
      <x:c r="E124" s="27" t="n">
        <x:f>'计划购电量'!G124-'计划购电量'!B124</x:f>
        <x:v>5.400124791776761e-13</x:v>
      </x:c>
      <x:c r="F124" s="27" t="n">
        <x:f>'计划购电量'!H124-'计划购电量'!B124</x:f>
        <x:v>123.88645000000051</x:v>
      </x:c>
      <x:c r="G124" s="27" t="n">
        <x:f>'计划购电量'!I124-'计划购电量'!B124</x:f>
        <x:v>-215.22684999999947</x:v>
      </x:c>
      <x:c r="H124" s="27" t="n">
        <x:f>'计划购电量'!J124-'计划购电量'!B124</x:f>
        <x:v>3.694822225952521e-13</x:v>
      </x:c>
      <x:c r="I124" s="27" t="n">
        <x:f>'计划购电量'!K124-'计划购电量'!B124</x:f>
        <x:v>5.400124791776761e-13</x:v>
      </x:c>
      <x:c r="J124" s="27" t="n">
        <x:f>'计划购电量'!L124-'计划购电量'!B124</x:f>
        <x:v>1.5916157281026244e-12</x:v>
      </x:c>
      <x:c r="K124" s="27" t="n">
        <x:f>'计划购电量'!M124-'计划购电量'!B124</x:f>
        <x:v>2.0463630789890885e-12</x:v>
      </x:c>
      <x:c r="L124" s="27" t="n">
        <x:f>'计划购电量'!N124-'计划购电量'!B124</x:f>
        <x:v>5.400124791776761e-13</x:v>
      </x:c>
      <x:c r="M124" s="27" t="n">
        <x:f>'计划购电量'!O124-'计划购电量'!B124</x:f>
        <x:v>3.694822225952521e-13</x:v>
      </x:c>
      <x:c r="N124" s="27" t="n">
        <x:f>'计划购电量'!P124-'计划购电量'!B124</x:f>
        <x:v>9.947598300641403e-13</x:v>
      </x:c>
      <x:c r="O124" s="27" t="n">
        <x:f>'计划购电量'!Q124-'计划购电量'!B124</x:f>
        <x:v>8.242295734817162e-13</x:v>
      </x:c>
      <x:c r="P124" s="27" t="n">
        <x:f>'计划购电量'!R124-'计划购电量'!B124</x:f>
        <x:v>5.400124791776761e-13</x:v>
      </x:c>
    </x:row>
    <x:row r="125" ht="25" customHeight="1">
      <x:c r="A125" s="27" t="str">
        <x:f>'计划购电量'!A125</x:f>
        <x:v>20:30-20:40</x:v>
      </x:c>
      <x:c r="B125" s="27" t="n">
        <x:f>'计划购电量'!D125-'计划购电量'!B125</x:f>
        <x:v>1.1368683772161603e-12</x:v>
      </x:c>
      <x:c r="C125" s="27" t="n">
        <x:f>'计划购电量'!E125-'计划购电量'!B125</x:f>
        <x:v>5.684341886080801e-13</x:v>
      </x:c>
      <x:c r="D125" s="27" t="n">
        <x:f>'计划购电量'!F125-'计划购电量'!B125</x:f>
        <x:v>5.684341886080801e-13</x:v>
      </x:c>
      <x:c r="E125" s="27" t="n">
        <x:f>'计划购电量'!G125-'计划购电量'!B125</x:f>
        <x:v>5.684341886080801e-13</x:v>
      </x:c>
      <x:c r="F125" s="27" t="n">
        <x:f>'计划购电量'!H125-'计划购电量'!B125</x:f>
        <x:v>40.553116666667165</x:v>
      </x:c>
      <x:c r="G125" s="27" t="n">
        <x:f>'计划购电量'!I125-'计划购电量'!B125</x:f>
        <x:v>-333.3333333333329</x:v>
      </x:c>
      <x:c r="H125" s="27" t="n">
        <x:f>'计划购电量'!J125-'计划购电量'!B125</x:f>
        <x:v>3.979039320256561e-13</x:v>
      </x:c>
      <x:c r="I125" s="27" t="n">
        <x:f>'计划购电量'!K125-'计划购电量'!B125</x:f>
        <x:v>5.684341886080801e-13</x:v>
      </x:c>
      <x:c r="J125" s="27" t="n">
        <x:f>'计划购电量'!L125-'计划购电量'!B125</x:f>
        <x:v>1.5916157281026244e-12</x:v>
      </x:c>
      <x:c r="K125" s="27" t="n">
        <x:f>'计划购电量'!M125-'计划购电量'!B125</x:f>
        <x:v>2.0463630789890885e-12</x:v>
      </x:c>
      <x:c r="L125" s="27" t="n">
        <x:f>'计划购电量'!N125-'计划购电量'!B125</x:f>
        <x:v>5.684341886080801e-13</x:v>
      </x:c>
      <x:c r="M125" s="27" t="n">
        <x:f>'计划购电量'!O125-'计划购电量'!B125</x:f>
        <x:v>3.979039320256561e-13</x:v>
      </x:c>
      <x:c r="N125" s="27" t="n">
        <x:f>'计划购电量'!P125-'计划购电量'!B125</x:f>
        <x:v>1.0231815394945443e-12</x:v>
      </x:c>
      <x:c r="O125" s="27" t="n">
        <x:f>'计划购电量'!Q125-'计划购电量'!B125</x:f>
        <x:v>8.526512829121202e-13</x:v>
      </x:c>
      <x:c r="P125" s="27" t="n">
        <x:f>'计划购电量'!R125-'计划购电量'!B125</x:f>
        <x:v>5.684341886080801e-13</x:v>
      </x:c>
    </x:row>
    <x:row r="126" ht="25" customHeight="1">
      <x:c r="A126" s="27" t="str">
        <x:f>'计划购电量'!A126</x:f>
        <x:v>20:40-20:50</x:v>
      </x:c>
      <x:c r="B126" s="27" t="n">
        <x:f>'计划购电量'!D126-'计划购电量'!B126</x:f>
        <x:v>1.1368683772161603e-12</x:v>
      </x:c>
      <x:c r="C126" s="27" t="n">
        <x:f>'计划购电量'!E126-'计划购电量'!B126</x:f>
        <x:v>5.684341886080801e-13</x:v>
      </x:c>
      <x:c r="D126" s="27" t="n">
        <x:f>'计划购电量'!F126-'计划购电量'!B126</x:f>
        <x:v>5.684341886080801e-13</x:v>
      </x:c>
      <x:c r="E126" s="27" t="n">
        <x:f>'计划购电量'!G126-'计划购电量'!B126</x:f>
        <x:v>5.684341886080801e-13</x:v>
      </x:c>
      <x:c r="F126" s="27" t="n">
        <x:f>'计划购电量'!H126-'计划购电量'!B126</x:f>
        <x:v>-42.78021666666609</x:v>
      </x:c>
      <x:c r="G126" s="27" t="n">
        <x:f>'计划购电量'!I126-'计划购电量'!B126</x:f>
        <x:v>-166.66666666666623</x:v>
      </x:c>
      <x:c r="H126" s="27" t="n">
        <x:f>'计划购电量'!J126-'计划购电量'!B126</x:f>
        <x:v>4.547473508864641e-13</x:v>
      </x:c>
      <x:c r="I126" s="27" t="n">
        <x:f>'计划购电量'!K126-'计划购电量'!B126</x:f>
        <x:v>5.684341886080801e-13</x:v>
      </x:c>
      <x:c r="J126" s="27" t="n">
        <x:f>'计划购电量'!L126-'计划购电量'!B126</x:f>
        <x:v>1.5916157281026244e-12</x:v>
      </x:c>
      <x:c r="K126" s="27" t="n">
        <x:f>'计划购电量'!M126-'计划购电量'!B126</x:f>
        <x:v>2.0463630789890885e-12</x:v>
      </x:c>
      <x:c r="L126" s="27" t="n">
        <x:f>'计划购电量'!N126-'计划购电量'!B126</x:f>
        <x:v>5.684341886080801e-13</x:v>
      </x:c>
      <x:c r="M126" s="27" t="n">
        <x:f>'计划购电量'!O126-'计划购电量'!B126</x:f>
        <x:v>9.094947017729282e-13</x:v>
      </x:c>
      <x:c r="N126" s="27" t="n">
        <x:f>'计划购电量'!P126-'计划购电量'!B126</x:f>
        <x:v>1.0231815394945443e-12</x:v>
      </x:c>
      <x:c r="O126" s="27" t="n">
        <x:f>'计划购电量'!Q126-'计划购电量'!B126</x:f>
        <x:v>9.094947017729282e-13</x:v>
      </x:c>
      <x:c r="P126" s="27" t="n">
        <x:f>'计划购电量'!R126-'计划购电量'!B126</x:f>
        <x:v>5.684341886080801e-13</x:v>
      </x:c>
    </x:row>
    <x:row r="127" ht="25" customHeight="1">
      <x:c r="A127" s="27" t="str">
        <x:f>'计划购电量'!A127</x:f>
        <x:v>20:50-21:00</x:v>
      </x:c>
      <x:c r="B127" s="27" t="n">
        <x:f>'计划购电量'!D127-'计划购电量'!B127</x:f>
        <x:v>4.547473508864641e-13</x:v>
      </x:c>
      <x:c r="C127" s="27" t="n">
        <x:f>'计划购电量'!E127-'计划购电量'!B127</x:f>
        <x:v>2.2737367544323206e-13</x:v>
      </x:c>
      <x:c r="D127" s="27" t="n">
        <x:f>'计划购电量'!F127-'计划购电量'!B127</x:f>
        <x:v>0</x:v>
      </x:c>
      <x:c r="E127" s="27" t="n">
        <x:f>'计划购电量'!G127-'计划购电量'!B127</x:f>
        <x:v>-2.2737367544323206e-13</x:v>
      </x:c>
      <x:c r="F127" s="27" t="n">
        <x:f>'计划购电量'!H127-'计划购电量'!B127</x:f>
        <x:v>-126.11355000000003</x:v>
      </x:c>
      <x:c r="G127" s="27" t="n">
        <x:f>'计划购电量'!I127-'计划购电量'!B127</x:f>
        <x:v>-2.2737367544323206e-13</x:v>
      </x:c>
      <x:c r="H127" s="27" t="n">
        <x:f>'计划购电量'!J127-'计划购电量'!B127</x:f>
        <x:v>0</x:v>
      </x:c>
      <x:c r="I127" s="27" t="n">
        <x:f>'计划购电量'!K127-'计划购电量'!B127</x:f>
        <x:v>0</x:v>
      </x:c>
      <x:c r="J127" s="27" t="n">
        <x:f>'计划购电量'!L127-'计划购电量'!B127</x:f>
        <x:v>1.0231815394945443e-12</x:v>
      </x:c>
      <x:c r="K127" s="27" t="n">
        <x:f>'计划购电量'!M127-'计划购电量'!B127</x:f>
        <x:v>1.4779288903810084e-12</x:v>
      </x:c>
      <x:c r="L127" s="27" t="n">
        <x:f>'计划购电量'!N127-'计划购电量'!B127</x:f>
        <x:v>0</x:v>
      </x:c>
      <x:c r="M127" s="27" t="n">
        <x:f>'计划购电量'!O127-'计划购电量'!B127</x:f>
        <x:v>0</x:v>
      </x:c>
      <x:c r="N127" s="27" t="n">
        <x:f>'计划购电量'!P127-'计划购电量'!B127</x:f>
        <x:v>4.547473508864641e-13</x:v>
      </x:c>
      <x:c r="O127" s="27" t="n">
        <x:f>'计划购电量'!Q127-'计划购电量'!B127</x:f>
        <x:v>2.2737367544323206e-13</x:v>
      </x:c>
      <x:c r="P127" s="27" t="n">
        <x:f>'计划购电量'!R127-'计划购电量'!B127</x:f>
        <x:v>0</x:v>
      </x:c>
    </x:row>
    <x:row r="128" ht="25" customHeight="1">
      <x:c r="A128" s="27" t="str">
        <x:f>'计划购电量'!A128</x:f>
        <x:v>21:00-21:10</x:v>
      </x:c>
      <x:c r="B128" s="27" t="n">
        <x:f>'计划购电量'!D128-'计划购电量'!B128</x:f>
        <x:v>-1.8189894035458565e-12</x:v>
      </x:c>
      <x:c r="C128" s="27" t="n">
        <x:f>'计划购电量'!E128-'计划购电量'!B128</x:f>
        <x:v>0</x:v>
      </x:c>
      <x:c r="D128" s="27" t="n">
        <x:f>'计划购电量'!F128-'计划购电量'!B128</x:f>
        <x:v>4.547473508864641e-13</x:v>
      </x:c>
      <x:c r="E128" s="27" t="n">
        <x:f>'计划购电量'!G128-'计划购电量'!B128</x:f>
        <x:v>4.547473508864641e-13</x:v>
      </x:c>
      <x:c r="F128" s="27" t="n">
        <x:f>'计划购电量'!H128-'计划购电量'!B128</x:f>
        <x:v>-42.78021666666632</x:v>
      </x:c>
      <x:c r="G128" s="27" t="n">
        <x:f>'计划购电量'!I128-'计划购电量'!B128</x:f>
        <x:v>4.206412995699793e-12</x:v>
      </x:c>
      <x:c r="H128" s="27" t="n">
        <x:f>'计划购电量'!J128-'计划购电量'!B128</x:f>
        <x:v>4.547473508864641e-13</x:v>
      </x:c>
      <x:c r="I128" s="27" t="n">
        <x:f>'计划购电量'!K128-'计划购电量'!B128</x:f>
        <x:v>1.1368683772161603e-12</x:v>
      </x:c>
      <x:c r="J128" s="27" t="n">
        <x:f>'计划购电量'!L128-'计划购电量'!B128</x:f>
        <x:v>1.4779288903810084e-12</x:v>
      </x:c>
      <x:c r="K128" s="27" t="n">
        <x:f>'计划购电量'!M128-'计划购电量'!B128</x:f>
        <x:v>6.821210263296962e-13</x:v>
      </x:c>
      <x:c r="L128" s="27" t="n">
        <x:f>'计划购电量'!N128-'计划购电量'!B128</x:f>
        <x:v>4.547473508864641e-13</x:v>
      </x:c>
      <x:c r="M128" s="27" t="n">
        <x:f>'计划购电量'!O128-'计划购电量'!B128</x:f>
        <x:v>4.547473508864641e-13</x:v>
      </x:c>
      <x:c r="N128" s="27" t="n">
        <x:f>'计划购电量'!P128-'计划购电量'!B128</x:f>
        <x:v>9.094947017729282e-13</x:v>
      </x:c>
      <x:c r="O128" s="27" t="n">
        <x:f>'计划购电量'!Q128-'计划购电量'!B128</x:f>
        <x:v>4.547473508864641e-13</x:v>
      </x:c>
      <x:c r="P128" s="27" t="n">
        <x:f>'计划购电量'!R128-'计划购电量'!B128</x:f>
        <x:v>4.547473508864641e-13</x:v>
      </x:c>
    </x:row>
    <x:row r="129" ht="25" customHeight="1">
      <x:c r="A129" s="27" t="str">
        <x:f>'计划购电量'!A129</x:f>
        <x:v>21:10-21:20</x:v>
      </x:c>
      <x:c r="B129" s="27" t="n">
        <x:f>'计划购电量'!D129-'计划购电量'!B129</x:f>
        <x:v>1.2505552149377763e-12</x:v>
      </x:c>
      <x:c r="C129" s="27" t="n">
        <x:f>'计划购电量'!E129-'计划购电量'!B129</x:f>
        <x:v>0</x:v>
      </x:c>
      <x:c r="D129" s="27" t="n">
        <x:f>'计划购电量'!F129-'计划购电量'!B129</x:f>
        <x:v>0</x:v>
      </x:c>
      <x:c r="E129" s="27" t="n">
        <x:f>'计划购电量'!G129-'计划购电量'!B129</x:f>
        <x:v>4.547473508864641e-13</x:v>
      </x:c>
      <x:c r="F129" s="27" t="n">
        <x:f>'计划购电量'!H129-'计划购电量'!B129</x:f>
        <x:v>4.547473508864641e-13</x:v>
      </x:c>
      <x:c r="G129" s="27" t="n">
        <x:f>'计划购电量'!I129-'计划购电量'!B129</x:f>
        <x:v>-1.1368683772161603e-12</x:v>
      </x:c>
      <x:c r="H129" s="27" t="n">
        <x:f>'计划购电量'!J129-'计划购电量'!B129</x:f>
        <x:v>0</x:v>
      </x:c>
      <x:c r="I129" s="27" t="n">
        <x:f>'计划购电量'!K129-'计划购电量'!B129</x:f>
        <x:v>0</x:v>
      </x:c>
      <x:c r="J129" s="27" t="n">
        <x:f>'计划购电量'!L129-'计划购电量'!B129</x:f>
        <x:v>-1.0231815394945443e-12</x:v>
      </x:c>
      <x:c r="K129" s="27" t="n">
        <x:f>'计划购电量'!M129-'计划购电量'!B129</x:f>
        <x:v>-9.094947017729282e-13</x:v>
      </x:c>
      <x:c r="L129" s="27" t="n">
        <x:f>'计划购电量'!N129-'计划购电量'!B129</x:f>
        <x:v>-4.547473508864641e-13</x:v>
      </x:c>
      <x:c r="M129" s="27" t="n">
        <x:f>'计划购电量'!O129-'计划购电量'!B129</x:f>
        <x:v>0</x:v>
      </x:c>
      <x:c r="N129" s="27" t="n">
        <x:f>'计划购电量'!P129-'计划购电量'!B129</x:f>
        <x:v>4.547473508864641e-13</x:v>
      </x:c>
      <x:c r="O129" s="27" t="n">
        <x:f>'计划购电量'!Q129-'计划购电量'!B129</x:f>
        <x:v>2.5011104298755527e-12</x:v>
      </x:c>
      <x:c r="P129" s="27" t="n">
        <x:f>'计划购电量'!R129-'计划购电量'!B129</x:f>
        <x:v>0</x:v>
      </x:c>
    </x:row>
    <x:row r="130" ht="25" customHeight="1">
      <x:c r="A130" s="27" t="str">
        <x:f>'计划购电量'!A130</x:f>
        <x:v>21:20-21:30</x:v>
      </x:c>
      <x:c r="B130" s="27" t="n">
        <x:f>'计划购电量'!D130-'计划购电量'!B130</x:f>
        <x:v>5.684341886080801e-13</x:v>
      </x:c>
      <x:c r="C130" s="27" t="n">
        <x:f>'计划购电量'!E130-'计划购电量'!B130</x:f>
        <x:v>-1.1368683772161603e-13</x:v>
      </x:c>
      <x:c r="D130" s="27" t="n">
        <x:f>'计划购电量'!F130-'计划购电量'!B130</x:f>
        <x:v>1.1368683772161603e-13</x:v>
      </x:c>
      <x:c r="E130" s="27" t="n">
        <x:f>'计划购电量'!G130-'计划购电量'!B130</x:f>
        <x:v>5.684341886080801e-13</x:v>
      </x:c>
      <x:c r="F130" s="27" t="n">
        <x:f>'计划购电量'!H130-'计划购电量'!B130</x:f>
        <x:v>-1.1368683772161603e-13</x:v>
      </x:c>
      <x:c r="G130" s="27" t="n">
        <x:f>'计划购电量'!I130-'计划购电量'!B130</x:f>
        <x:v>-9.094947017729282e-13</x:v>
      </x:c>
      <x:c r="H130" s="27" t="n">
        <x:f>'计划购电量'!J130-'计划购电量'!B130</x:f>
        <x:v>3.410605131648481e-13</x:v>
      </x:c>
      <x:c r="I130" s="27" t="n">
        <x:f>'计划购电量'!K130-'计划购电量'!B130</x:f>
        <x:v>0</x:v>
      </x:c>
      <x:c r="J130" s="27" t="n">
        <x:f>'计划购电量'!L130-'计划购电量'!B130</x:f>
        <x:v>1.8189894035458565e-12</x:v>
      </x:c>
      <x:c r="K130" s="27" t="n">
        <x:f>'计划购电量'!M130-'计划购电量'!B130</x:f>
        <x:v>1.3642420526593924e-12</x:v>
      </x:c>
      <x:c r="L130" s="27" t="n">
        <x:f>'计划购电量'!N130-'计划购电量'!B130</x:f>
        <x:v>-1.1368683772161603e-13</x:v>
      </x:c>
      <x:c r="M130" s="27" t="n">
        <x:f>'计划购电量'!O130-'计划购电量'!B130</x:f>
        <x:v>-1.1368683772161603e-13</x:v>
      </x:c>
      <x:c r="N130" s="27" t="n">
        <x:f>'计划购电量'!P130-'计划购电量'!B130</x:f>
        <x:v>1.2505552149377763e-12</x:v>
      </x:c>
      <x:c r="O130" s="27" t="n">
        <x:f>'计划购电量'!Q130-'计划购电量'!B130</x:f>
        <x:v>-3.410605131648481e-13</x:v>
      </x:c>
      <x:c r="P130" s="27" t="n">
        <x:f>'计划购电量'!R130-'计划购电量'!B130</x:f>
        <x:v>3.410605131648481e-13</x:v>
      </x:c>
    </x:row>
    <x:row r="131" ht="25" customHeight="1">
      <x:c r="A131" s="27" t="str">
        <x:f>'计划购电量'!A131</x:f>
        <x:v>21:30-21:40</x:v>
      </x:c>
      <x:c r="B131" s="27" t="n">
        <x:f>'计划购电量'!D131-'计划购电量'!B131</x:f>
        <x:v>4.547473508864641e-13</x:v>
      </x:c>
      <x:c r="C131" s="27" t="n">
        <x:f>'计划购电量'!E131-'计划购电量'!B131</x:f>
        <x:v>0</x:v>
      </x:c>
      <x:c r="D131" s="27" t="n">
        <x:f>'计划购电量'!F131-'计划购电量'!B131</x:f>
        <x:v>-5.684341886080801e-13</x:v>
      </x:c>
      <x:c r="E131" s="27" t="n">
        <x:f>'计划购电量'!G131-'计划购电量'!B131</x:f>
        <x:v>7.958078640513122e-13</x:v>
      </x:c>
      <x:c r="F131" s="27" t="n">
        <x:f>'计划购电量'!H131-'计划购电量'!B131</x:f>
        <x:v>0</x:v>
      </x:c>
      <x:c r="G131" s="27" t="n">
        <x:f>'计划购电量'!I131-'计划购电量'!B131</x:f>
        <x:v>-7.958078640513122e-13</x:v>
      </x:c>
      <x:c r="H131" s="27" t="n">
        <x:f>'计划购电量'!J131-'计划购电量'!B131</x:f>
        <x:v>4.547473508864641e-13</x:v>
      </x:c>
      <x:c r="I131" s="27" t="n">
        <x:f>'计划购电量'!K131-'计划购电量'!B131</x:f>
        <x:v>4.547473508864641e-13</x:v>
      </x:c>
      <x:c r="J131" s="27" t="n">
        <x:f>'计划购电量'!L131-'计划购电量'!B131</x:f>
        <x:v>-3.410605131648481e-13</x:v>
      </x:c>
      <x:c r="K131" s="27" t="n">
        <x:f>'计划购电量'!M131-'计划购电量'!B131</x:f>
        <x:v>-3.410605131648481e-13</x:v>
      </x:c>
      <x:c r="L131" s="27" t="n">
        <x:f>'计划购电量'!N131-'计划购电量'!B131</x:f>
        <x:v>1.3642420526593924e-12</x:v>
      </x:c>
      <x:c r="M131" s="27" t="n">
        <x:f>'计划购电量'!O131-'计划购电量'!B131</x:f>
        <x:v>9.094947017729282e-13</x:v>
      </x:c>
      <x:c r="N131" s="27" t="n">
        <x:f>'计划购电量'!P131-'计划购电量'!B131</x:f>
        <x:v>-1.2505552149377763e-12</x:v>
      </x:c>
      <x:c r="O131" s="27" t="n">
        <x:f>'计划购电量'!Q131-'计划购电量'!B131</x:f>
        <x:v>-1.4779288903810084e-12</x:v>
      </x:c>
      <x:c r="P131" s="27" t="n">
        <x:f>'计划购电量'!R131-'计划购电量'!B131</x:f>
        <x:v>4.547473508864641e-13</x:v>
      </x:c>
    </x:row>
    <x:row r="132" ht="25" customHeight="1">
      <x:c r="A132" s="27" t="str">
        <x:f>'计划购电量'!A132</x:f>
        <x:v>21:40-21:50</x:v>
      </x:c>
      <x:c r="B132" s="27" t="n">
        <x:f>'计划购电量'!D132-'计划购电量'!B132</x:f>
        <x:v>-7.958078640513122e-13</x:v>
      </x:c>
      <x:c r="C132" s="27" t="n">
        <x:f>'计划购电量'!E132-'计划购电量'!B132</x:f>
        <x:v>0</x:v>
      </x:c>
      <x:c r="D132" s="27" t="n">
        <x:f>'计划购电量'!F132-'计划购电量'!B132</x:f>
        <x:v>1.0231815394945443e-12</x:v>
      </x:c>
      <x:c r="E132" s="27" t="n">
        <x:f>'计划购电量'!G132-'计划购电量'!B132</x:f>
        <x:v>-5.684341886080801e-13</x:v>
      </x:c>
      <x:c r="F132" s="27" t="n">
        <x:f>'计划购电量'!H132-'计划购电量'!B132</x:f>
        <x:v>0</x:v>
      </x:c>
      <x:c r="G132" s="27" t="n">
        <x:f>'计划购电量'!I132-'计划购电量'!B132</x:f>
        <x:v>-7.958078640513122e-13</x:v>
      </x:c>
      <x:c r="H132" s="27" t="n">
        <x:f>'计划购电量'!J132-'计划购电量'!B132</x:f>
        <x:v>-7.958078640513122e-13</x:v>
      </x:c>
      <x:c r="I132" s="27" t="n">
        <x:f>'计划购电量'!K132-'计划购电量'!B132</x:f>
        <x:v>-7.958078640513122e-13</x:v>
      </x:c>
      <x:c r="J132" s="27" t="n">
        <x:f>'计划购电量'!L132-'计划购电量'!B132</x:f>
        <x:v>0</x:v>
      </x:c>
      <x:c r="K132" s="27" t="n">
        <x:f>'计划购电量'!M132-'计划购电量'!B132</x:f>
        <x:v>-6.821210263296962e-13</x:v>
      </x:c>
      <x:c r="L132" s="27" t="n">
        <x:f>'计划购电量'!N132-'计划购电量'!B132</x:f>
        <x:v>-7.958078640513122e-13</x:v>
      </x:c>
      <x:c r="M132" s="27" t="n">
        <x:f>'计划购电量'!O132-'计划购电量'!B132</x:f>
        <x:v>0</x:v>
      </x:c>
      <x:c r="N132" s="27" t="n">
        <x:f>'计划购电量'!P132-'计划购电量'!B132</x:f>
        <x:v>-7.958078640513122e-13</x:v>
      </x:c>
      <x:c r="O132" s="27" t="n">
        <x:f>'计划购电量'!Q132-'计划购电量'!B132</x:f>
        <x:v>-7.958078640513122e-13</x:v>
      </x:c>
      <x:c r="P132" s="27" t="n">
        <x:f>'计划购电量'!R132-'计划购电量'!B132</x:f>
        <x:v>-7.958078640513122e-13</x:v>
      </x:c>
    </x:row>
    <x:row r="133" ht="25" customHeight="1">
      <x:c r="A133" s="27" t="str">
        <x:f>'计划购电量'!A133</x:f>
        <x:v>21:50-22:00</x:v>
      </x:c>
      <x:c r="B133" s="27" t="n">
        <x:f>'计划购电量'!D133-'计划购电量'!B133</x:f>
        <x:v>-6.821210263296962e-13</x:v>
      </x:c>
      <x:c r="C133" s="27" t="n">
        <x:f>'计划购电量'!E133-'计划购电量'!B133</x:f>
        <x:v>0</x:v>
      </x:c>
      <x:c r="D133" s="27" t="n">
        <x:f>'计划购电量'!F133-'计划购电量'!B133</x:f>
        <x:v>9.094947017729282e-13</x:v>
      </x:c>
      <x:c r="E133" s="27" t="n">
        <x:f>'计划购电量'!G133-'计划购电量'!B133</x:f>
        <x:v>-5.684341886080801e-13</x:v>
      </x:c>
      <x:c r="F133" s="27" t="n">
        <x:f>'计划购电量'!H133-'计划购电量'!B133</x:f>
        <x:v>-83.33333333333326</x:v>
      </x:c>
      <x:c r="G133" s="27" t="n">
        <x:f>'计划购电量'!I133-'计划购电量'!B133</x:f>
        <x:v>166.6666666666656</x:v>
      </x:c>
      <x:c r="H133" s="27" t="n">
        <x:f>'计划购电量'!J133-'计划购电量'!B133</x:f>
        <x:v>-9.094947017729282e-13</x:v>
      </x:c>
      <x:c r="I133" s="27" t="n">
        <x:f>'计划购电量'!K133-'计划购电量'!B133</x:f>
        <x:v>-9.094947017729282e-13</x:v>
      </x:c>
      <x:c r="J133" s="27" t="n">
        <x:f>'计划购电量'!L133-'计划购电量'!B133</x:f>
        <x:v>0</x:v>
      </x:c>
      <x:c r="K133" s="27" t="n">
        <x:f>'计划购电量'!M133-'计划购电量'!B133</x:f>
        <x:v>-5.684341886080801e-13</x:v>
      </x:c>
      <x:c r="L133" s="27" t="n">
        <x:f>'计划购电量'!N133-'计划购电量'!B133</x:f>
        <x:v>-9.094947017729282e-13</x:v>
      </x:c>
      <x:c r="M133" s="27" t="n">
        <x:f>'计划购电量'!O133-'计划购电量'!B133</x:f>
        <x:v>0</x:v>
      </x:c>
      <x:c r="N133" s="27" t="n">
        <x:f>'计划购电量'!P133-'计划购电量'!B133</x:f>
        <x:v>-9.094947017729282e-13</x:v>
      </x:c>
      <x:c r="O133" s="27" t="n">
        <x:f>'计划购电量'!Q133-'计划购电量'!B133</x:f>
        <x:v>-9.094947017729282e-13</x:v>
      </x:c>
      <x:c r="P133" s="27" t="n">
        <x:f>'计划购电量'!R133-'计划购电量'!B133</x:f>
        <x:v>-6.821210263296962e-13</x:v>
      </x:c>
    </x:row>
    <x:row r="134" ht="25" customHeight="1">
      <x:c r="A134" s="27" t="str">
        <x:f>'计划购电量'!A134</x:f>
        <x:v>22:00-22:10</x:v>
      </x:c>
      <x:c r="B134" s="27" t="n">
        <x:f>'计划购电量'!D134-'计划购电量'!B134</x:f>
        <x:v>-7.958078640513122e-13</x:v>
      </x:c>
      <x:c r="C134" s="27" t="n">
        <x:f>'计划购电量'!E134-'计划购电量'!B134</x:f>
        <x:v>0</x:v>
      </x:c>
      <x:c r="D134" s="27" t="n">
        <x:f>'计划购电量'!F134-'计划购电量'!B134</x:f>
        <x:v>9.094947017729282e-13</x:v>
      </x:c>
      <x:c r="E134" s="27" t="n">
        <x:f>'计划购电量'!G134-'计划购电量'!B134</x:f>
        <x:v>-5.684341886080801e-13</x:v>
      </x:c>
      <x:c r="F134" s="27" t="n">
        <x:f>'计划购电量'!H134-'计划购电量'!B134</x:f>
        <x:v>-166.66666666666663</x:v>
      </x:c>
      <x:c r="G134" s="27" t="n">
        <x:f>'计划购电量'!I134-'计划购电量'!B134</x:f>
        <x:v>333.33333333333223</x:v>
      </x:c>
      <x:c r="H134" s="27" t="n">
        <x:f>'计划购电量'!J134-'计划购电量'!B134</x:f>
        <x:v>-9.094947017729282e-13</x:v>
      </x:c>
      <x:c r="I134" s="27" t="n">
        <x:f>'计划购电量'!K134-'计划购电量'!B134</x:f>
        <x:v>-9.094947017729282e-13</x:v>
      </x:c>
      <x:c r="J134" s="27" t="n">
        <x:f>'计划购电量'!L134-'计划购电量'!B134</x:f>
        <x:v>0</x:v>
      </x:c>
      <x:c r="K134" s="27" t="n">
        <x:f>'计划购电量'!M134-'计划购电量'!B134</x:f>
        <x:v>-5.684341886080801e-13</x:v>
      </x:c>
      <x:c r="L134" s="27" t="n">
        <x:f>'计划购电量'!N134-'计划购电量'!B134</x:f>
        <x:v>-9.094947017729282e-13</x:v>
      </x:c>
      <x:c r="M134" s="27" t="n">
        <x:f>'计划购电量'!O134-'计划购电量'!B134</x:f>
        <x:v>0</x:v>
      </x:c>
      <x:c r="N134" s="27" t="n">
        <x:f>'计划购电量'!P134-'计划购电量'!B134</x:f>
        <x:v>-9.094947017729282e-13</x:v>
      </x:c>
      <x:c r="O134" s="27" t="n">
        <x:f>'计划购电量'!Q134-'计划购电量'!B134</x:f>
        <x:v>-9.094947017729282e-13</x:v>
      </x:c>
      <x:c r="P134" s="27" t="n">
        <x:f>'计划购电量'!R134-'计划购电量'!B134</x:f>
        <x:v>-7.958078640513122e-13</x:v>
      </x:c>
    </x:row>
    <x:row r="135" ht="25" customHeight="1">
      <x:c r="A135" s="27" t="str">
        <x:f>'计划购电量'!A135</x:f>
        <x:v>22:10-22:20</x:v>
      </x:c>
      <x:c r="B135" s="27" t="n">
        <x:f>'计划购电量'!D135-'计划购电量'!B135</x:f>
        <x:v>-166.66666666666742</x:v>
      </x:c>
      <x:c r="C135" s="27" t="n">
        <x:f>'计划购电量'!E135-'计划购电量'!B135</x:f>
        <x:v>0</x:v>
      </x:c>
      <x:c r="D135" s="27" t="n">
        <x:f>'计划购电量'!F135-'计划购电量'!B135</x:f>
        <x:v>81.1797808729757</x:v>
      </x:c>
      <x:c r="E135" s="27" t="n">
        <x:f>'计划购电量'!G135-'计划购电量'!B135</x:f>
        <x:v>81.17978087297547</x:v>
      </x:c>
      <x:c r="F135" s="27" t="n">
        <x:f>'计划购电量'!H135-'计划购电量'!B135</x:f>
        <x:v>-83.33333333333348</x:v>
      </x:c>
      <x:c r="G135" s="27" t="n">
        <x:f>'计划购电量'!I135-'计划购电量'!B135</x:f>
        <x:v>35.725235418434295</x:v>
      </x:c>
      <x:c r="H135" s="27" t="n">
        <x:f>'计划购电量'!J135-'计划购电量'!B135</x:f>
        <x:v>-9.094947017729282e-13</x:v>
      </x:c>
      <x:c r="I135" s="27" t="n">
        <x:f>'计划购电量'!K135-'计划购电量'!B135</x:f>
        <x:v>81.1797808729757</x:v>
      </x:c>
      <x:c r="J135" s="27" t="n">
        <x:f>'计划购电量'!L135-'计划购电量'!B135</x:f>
        <x:v>0</x:v>
      </x:c>
      <x:c r="K135" s="27" t="n">
        <x:f>'计划购电量'!M135-'计划购电量'!B135</x:f>
        <x:v>81.17978087297615</x:v>
      </x:c>
      <x:c r="L135" s="27" t="n">
        <x:f>'计划购电量'!N135-'计划购电量'!B135</x:f>
        <x:v>-9.094947017729282e-13</x:v>
      </x:c>
      <x:c r="M135" s="27" t="n">
        <x:f>'计划购电量'!O135-'计划购电量'!B135</x:f>
        <x:v>0</x:v>
      </x:c>
      <x:c r="N135" s="27" t="n">
        <x:f>'计划购电量'!P135-'计划购电量'!B135</x:f>
        <x:v>-9.094947017729282e-13</x:v>
      </x:c>
      <x:c r="O135" s="27" t="n">
        <x:f>'计划购电量'!Q135-'计划购电量'!B135</x:f>
        <x:v>-9.094947017729282e-13</x:v>
      </x:c>
      <x:c r="P135" s="27" t="n">
        <x:f>'计划购电量'!R135-'计划购电量'!B135</x:f>
        <x:v>-7.958078640513122e-13</x:v>
      </x:c>
    </x:row>
    <x:row r="136" ht="25" customHeight="1">
      <x:c r="A136" s="27" t="str">
        <x:f>'计划购电量'!A136</x:f>
        <x:v>22:20-22:30</x:v>
      </x:c>
      <x:c r="B136" s="27" t="n">
        <x:f>'计划购电量'!D136-'计划购电量'!B136</x:f>
        <x:v>-89.29775896027388</x:v>
      </x:c>
      <x:c r="C136" s="27" t="n">
        <x:f>'计划购电量'!E136-'计划购电量'!B136</x:f>
        <x:v>3.410605131648481e-13</x:v>
      </x:c>
      <x:c r="D136" s="27" t="n">
        <x:f>'计划购电量'!F136-'计划购电量'!B136</x:f>
        <x:v>-8.117978087297502</x:v>
      </x:c>
      <x:c r="E136" s="27" t="n">
        <x:f>'计划购电量'!G136-'计划购电量'!B136</x:f>
        <x:v>-8.117978087297615</x:v>
      </x:c>
      <x:c r="F136" s="27" t="n">
        <x:f>'计划购电量'!H136-'计划购电量'!B136</x:f>
        <x:v>-89.29775896027331</x:v>
      </x:c>
      <x:c r="G136" s="27" t="n">
        <x:f>'计划购电量'!I136-'计划购电量'!B136</x:f>
        <x:v>-53.57252354184311</x:v>
      </x:c>
      <x:c r="H136" s="27" t="n">
        <x:f>'计划购电量'!J136-'计划购电量'!B136</x:f>
        <x:v>4.547473508864641e-13</x:v>
      </x:c>
      <x:c r="I136" s="27" t="n">
        <x:f>'计划购电量'!K136-'计划购电量'!B136</x:f>
        <x:v>-8.117978087297502</x:v>
      </x:c>
      <x:c r="J136" s="27" t="n">
        <x:f>'计划购电量'!L136-'计划购电量'!B136</x:f>
        <x:v>0</x:v>
      </x:c>
      <x:c r="K136" s="27" t="n">
        <x:f>'计划购电量'!M136-'计划购电量'!B136</x:f>
        <x:v>-8.117978087297502</x:v>
      </x:c>
      <x:c r="L136" s="27" t="n">
        <x:f>'计划购电量'!N136-'计划购电量'!B136</x:f>
        <x:v>2.1600499167107046e-12</x:v>
      </x:c>
      <x:c r="M136" s="27" t="n">
        <x:f>'计划购电量'!O136-'计划购电量'!B136</x:f>
        <x:v>-1.1368683772161603e-13</x:v>
      </x:c>
      <x:c r="N136" s="27" t="n">
        <x:f>'计划购电量'!P136-'计划购电量'!B136</x:f>
        <x:v>3.410605131648481e-13</x:v>
      </x:c>
      <x:c r="O136" s="27" t="n">
        <x:f>'计划购电量'!Q136-'计划购电量'!B136</x:f>
        <x:v>1.1368683772161603e-13</x:v>
      </x:c>
      <x:c r="P136" s="27" t="n">
        <x:f>'计划购电量'!R136-'计划购电量'!B136</x:f>
        <x:v>-4.252274236203448</x:v>
      </x:c>
    </x:row>
    <x:row r="137" ht="25" customHeight="1">
      <x:c r="A137" s="27" t="str">
        <x:f>'计划购电量'!A137</x:f>
        <x:v>22:30-22:40</x:v>
      </x:c>
      <x:c r="B137" s="27" t="n">
        <x:f>'计划购电量'!D137-'计划购电量'!B137</x:f>
        <x:v>77.36890770639297</x:v>
      </x:c>
      <x:c r="C137" s="27" t="n">
        <x:f>'计划购电量'!E137-'计划购电量'!B137</x:f>
        <x:v>4.547473508864641e-13</x:v>
      </x:c>
      <x:c r="D137" s="27" t="n">
        <x:f>'计划购电量'!F137-'计划购电量'!B137</x:f>
        <x:v>-8.117978087297615</x:v>
      </x:c>
      <x:c r="E137" s="27" t="n">
        <x:f>'计划购电量'!G137-'计划购电量'!B137</x:f>
        <x:v>-8.117978087297274</x:v>
      </x:c>
      <x:c r="F137" s="27" t="n">
        <x:f>'计划购电量'!H137-'计划购电量'!B137</x:f>
        <x:v>-5.964425626939828</x:v>
      </x:c>
      <x:c r="G137" s="27" t="n">
        <x:f>'计划购电量'!I137-'计划购电量'!B137</x:f>
        <x:v>-53.572523541842884</x:v>
      </x:c>
      <x:c r="H137" s="27" t="n">
        <x:f>'计划购电量'!J137-'计划购电量'!B137</x:f>
        <x:v>4.547473508864641e-13</x:v>
      </x:c>
      <x:c r="I137" s="27" t="n">
        <x:f>'计划购电量'!K137-'计划购电量'!B137</x:f>
        <x:v>-8.117978087297274</x:v>
      </x:c>
      <x:c r="J137" s="27" t="n">
        <x:f>'计划购电量'!L137-'计划购电量'!B137</x:f>
        <x:v>3.410605131648481e-13</x:v>
      </x:c>
      <x:c r="K137" s="27" t="n">
        <x:f>'计划购电量'!M137-'计划购电量'!B137</x:f>
        <x:v>-8.117978087297274</x:v>
      </x:c>
      <x:c r="L137" s="27" t="n">
        <x:f>'计划购电量'!N137-'计划购电量'!B137</x:f>
        <x:v>1.1368683772161603e-12</x:v>
      </x:c>
      <x:c r="M137" s="27" t="n">
        <x:f>'计划购电量'!O137-'计划购电量'!B137</x:f>
        <x:v>2.2737367544323206e-13</x:v>
      </x:c>
      <x:c r="N137" s="27" t="n">
        <x:f>'计划购电量'!P137-'计划购电量'!B137</x:f>
        <x:v>4.547473508864641e-13</x:v>
      </x:c>
      <x:c r="O137" s="27" t="n">
        <x:f>'计划购电量'!Q137-'计划购电量'!B137</x:f>
        <x:v>4.547473508864641e-13</x:v>
      </x:c>
      <x:c r="P137" s="27" t="n">
        <x:f>'计划购电量'!R137-'计划购电量'!B137</x:f>
        <x:v>-4.25227423620322</x:v>
      </x:c>
    </x:row>
    <x:row r="138" ht="25" customHeight="1">
      <x:c r="A138" s="27" t="str">
        <x:f>'计划购电量'!A138</x:f>
        <x:v>22:40-22:50</x:v>
      </x:c>
      <x:c r="B138" s="27" t="n">
        <x:f>'计划购电量'!D138-'计划购电量'!B138</x:f>
        <x:v>-89.05380669642227</x:v>
      </x:c>
      <x:c r="C138" s="27" t="n">
        <x:f>'计划购电量'!E138-'计划购电量'!B138</x:f>
        <x:v>3.410605131648481e-13</x:v>
      </x:c>
      <x:c r="D138" s="27" t="n">
        <x:f>'计划购电量'!F138-'计划购电量'!B138</x:f>
        <x:v>-8.117978087297729</x:v>
      </x:c>
      <x:c r="E138" s="27" t="n">
        <x:f>'计划购电量'!G138-'计划购电量'!B138</x:f>
        <x:v>-8.117978087297388</x:v>
      </x:c>
      <x:c r="F138" s="27" t="n">
        <x:f>'计划购电量'!H138-'计划购电量'!B138</x:f>
        <x:v>53.57443974006719</x:v>
      </x:c>
      <x:c r="G138" s="27" t="n">
        <x:f>'计划购电量'!I138-'计划购电量'!B138</x:f>
        <x:v>-53.57252354184311</x:v>
      </x:c>
      <x:c r="H138" s="27" t="n">
        <x:f>'计划购电量'!J138-'计划购电量'!B138</x:f>
        <x:v>3.410605131648481e-13</x:v>
      </x:c>
      <x:c r="I138" s="27" t="n">
        <x:f>'计划购电量'!K138-'计划购电量'!B138</x:f>
        <x:v>-8.117978087297388</x:v>
      </x:c>
      <x:c r="J138" s="27" t="n">
        <x:f>'计划购电量'!L138-'计划购电量'!B138</x:f>
        <x:v>-2.2737367544323206e-13</x:v>
      </x:c>
      <x:c r="K138" s="27" t="n">
        <x:f>'计划购电量'!M138-'计划购电量'!B138</x:f>
        <x:v>-8.117978087297388</x:v>
      </x:c>
      <x:c r="L138" s="27" t="n">
        <x:f>'计划购电量'!N138-'计划购电量'!B138</x:f>
        <x:v>9.094947017729282e-13</x:v>
      </x:c>
      <x:c r="M138" s="27" t="n">
        <x:f>'计划购电量'!O138-'计划购电量'!B138</x:f>
        <x:v>-1.1368683772161603e-13</x:v>
      </x:c>
      <x:c r="N138" s="27" t="n">
        <x:f>'计划购电量'!P138-'计划购电量'!B138</x:f>
        <x:v>3.410605131648481e-13</x:v>
      </x:c>
      <x:c r="O138" s="27" t="n">
        <x:f>'计划购电量'!Q138-'计划购电量'!B138</x:f>
        <x:v>3.410605131648481e-13</x:v>
      </x:c>
      <x:c r="P138" s="27" t="n">
        <x:f>'计划购电量'!R138-'计划购电量'!B138</x:f>
        <x:v>-4.252274236203448</x:v>
      </x:c>
    </x:row>
    <x:row r="139" ht="25" customHeight="1">
      <x:c r="A139" s="27" t="str">
        <x:f>'计划购电量'!A139</x:f>
        <x:v>22:50-23:00</x:v>
      </x:c>
      <x:c r="B139" s="27" t="n">
        <x:f>'计划购电量'!D139-'计划购电量'!B139</x:f>
        <x:v>-29.89745495471732</x:v>
      </x:c>
      <x:c r="C139" s="27" t="n">
        <x:f>'计划购电量'!E139-'计划购电量'!B139</x:f>
        <x:v>3.410605131648481e-13</x:v>
      </x:c>
      <x:c r="D139" s="27" t="n">
        <x:f>'计划购电量'!F139-'计划购电量'!B139</x:f>
        <x:v>-8.117978087297615</x:v>
      </x:c>
      <x:c r="E139" s="27" t="n">
        <x:f>'计划购电量'!G139-'计划购电量'!B139</x:f>
        <x:v>-8.117978087297502</x:v>
      </x:c>
      <x:c r="F139" s="27" t="n">
        <x:f>'计划购电量'!H139-'计划购电量'!B139</x:f>
        <x:v>53.57443974006844</x:v>
      </x:c>
      <x:c r="G139" s="27" t="n">
        <x:f>'计划购电量'!I139-'计划购电量'!B139</x:f>
        <x:v>-53.572523541843</x:v>
      </x:c>
      <x:c r="H139" s="27" t="n">
        <x:f>'计划购电量'!J139-'计划购电量'!B139</x:f>
        <x:v>3.410605131648481e-13</x:v>
      </x:c>
      <x:c r="I139" s="27" t="n">
        <x:f>'计划购电量'!K139-'计划购电量'!B139</x:f>
        <x:v>-8.117978087297274</x:v>
      </x:c>
      <x:c r="J139" s="27" t="n">
        <x:f>'计划购电量'!L139-'计划购电量'!B139</x:f>
        <x:v>-3.410605131648481e-13</x:v>
      </x:c>
      <x:c r="K139" s="27" t="n">
        <x:f>'计划购电量'!M139-'计划购电量'!B139</x:f>
        <x:v>-8.117978087297502</x:v>
      </x:c>
      <x:c r="L139" s="27" t="n">
        <x:f>'计划购电量'!N139-'计划购电量'!B139</x:f>
        <x:v>9.094947017729282e-13</x:v>
      </x:c>
      <x:c r="M139" s="27" t="n">
        <x:f>'计划购电量'!O139-'计划购电量'!B139</x:f>
        <x:v>0</x:v>
      </x:c>
      <x:c r="N139" s="27" t="n">
        <x:f>'计划购电量'!P139-'计划购电量'!B139</x:f>
        <x:v>3.410605131648481e-13</x:v>
      </x:c>
      <x:c r="O139" s="27" t="n">
        <x:f>'计划购电量'!Q139-'计划购电量'!B139</x:f>
        <x:v>3.410605131648481e-13</x:v>
      </x:c>
      <x:c r="P139" s="27" t="n">
        <x:f>'计划购电量'!R139-'计划购电量'!B139</x:f>
        <x:v>-4.252274236203448</x:v>
      </x:c>
    </x:row>
    <x:row r="140" ht="25" customHeight="1">
      <x:c r="A140" s="27" t="str">
        <x:f>'计划购电量'!A140</x:f>
        <x:v>23:00-23:10</x:v>
      </x:c>
      <x:c r="B140" s="27" t="n">
        <x:f>'计划购电量'!D140-'计划购电量'!B140</x:f>
        <x:v>-89.29775896027388</x:v>
      </x:c>
      <x:c r="C140" s="27" t="n">
        <x:f>'计划购电量'!E140-'计划购电量'!B140</x:f>
        <x:v>3.410605131648481e-13</x:v>
      </x:c>
      <x:c r="D140" s="27" t="n">
        <x:f>'计划购电量'!F140-'计划购电量'!B140</x:f>
        <x:v>-8.117978087297615</x:v>
      </x:c>
      <x:c r="E140" s="27" t="n">
        <x:f>'计划购电量'!G140-'计划购电量'!B140</x:f>
        <x:v>-8.117978087297502</x:v>
      </x:c>
      <x:c r="F140" s="27" t="n">
        <x:f>'计划购电量'!H140-'计划购电量'!B140</x:f>
        <x:v>53.57443974006844</x:v>
      </x:c>
      <x:c r="G140" s="27" t="n">
        <x:f>'计划购电量'!I140-'计划购电量'!B140</x:f>
        <x:v>-53.572523541843</x:v>
      </x:c>
      <x:c r="H140" s="27" t="n">
        <x:f>'计划购电量'!J140-'计划购电量'!B140</x:f>
        <x:v>3.410605131648481e-13</x:v>
      </x:c>
      <x:c r="I140" s="27" t="n">
        <x:f>'计划购电量'!K140-'计划购电量'!B140</x:f>
        <x:v>-8.117978087297274</x:v>
      </x:c>
      <x:c r="J140" s="27" t="n">
        <x:f>'计划购电量'!L140-'计划购电量'!B140</x:f>
        <x:v>-3.410605131648481e-13</x:v>
      </x:c>
      <x:c r="K140" s="27" t="n">
        <x:f>'计划购电量'!M140-'计划购电量'!B140</x:f>
        <x:v>-8.117978087297502</x:v>
      </x:c>
      <x:c r="L140" s="27" t="n">
        <x:f>'计划购电量'!N140-'计划购电量'!B140</x:f>
        <x:v>9.094947017729282e-13</x:v>
      </x:c>
      <x:c r="M140" s="27" t="n">
        <x:f>'计划购电量'!O140-'计划购电量'!B140</x:f>
        <x:v>-1.1368683772161603e-13</x:v>
      </x:c>
      <x:c r="N140" s="27" t="n">
        <x:f>'计划购电量'!P140-'计划购电量'!B140</x:f>
        <x:v>3.410605131648481e-13</x:v>
      </x:c>
      <x:c r="O140" s="27" t="n">
        <x:f>'计划购电量'!Q140-'计划购电量'!B140</x:f>
        <x:v>3.410605131648481e-13</x:v>
      </x:c>
      <x:c r="P140" s="27" t="n">
        <x:f>'计划购电量'!R140-'计划购电量'!B140</x:f>
        <x:v>-4.252274236203334</x:v>
      </x:c>
    </x:row>
    <x:row r="141" ht="25" customHeight="1">
      <x:c r="A141" s="27" t="str">
        <x:f>'计划购电量'!A141</x:f>
        <x:v>23:10-23:20</x:v>
      </x:c>
      <x:c r="B141" s="27" t="n">
        <x:f>'计划购电量'!D141-'计划购电量'!B141</x:f>
        <x:v>77.36890770639275</x:v>
      </x:c>
      <x:c r="C141" s="27" t="n">
        <x:f>'计划购电量'!E141-'计划购电量'!B141</x:f>
        <x:v>2.2737367544323206e-13</x:v>
      </x:c>
      <x:c r="D141" s="27" t="n">
        <x:f>'计划购电量'!F141-'计划购电量'!B141</x:f>
        <x:v>-8.117978087297502</x:v>
      </x:c>
      <x:c r="E141" s="27" t="n">
        <x:f>'计划购电量'!G141-'计划购电量'!B141</x:f>
        <x:v>-8.117978087297502</x:v>
      </x:c>
      <x:c r="F141" s="27" t="n">
        <x:f>'计划购电量'!H141-'计划购电量'!B141</x:f>
        <x:v>53.574439740068556</x:v>
      </x:c>
      <x:c r="G141" s="27" t="n">
        <x:f>'计划购电量'!I141-'计划购电量'!B141</x:f>
        <x:v>-53.572523541843</x:v>
      </x:c>
      <x:c r="H141" s="27" t="n">
        <x:f>'计划购电量'!J141-'计划购电量'!B141</x:f>
        <x:v>2.2737367544323206e-13</x:v>
      </x:c>
      <x:c r="I141" s="27" t="n">
        <x:f>'计划购电量'!K141-'计划购电量'!B141</x:f>
        <x:v>-8.11797808729716</x:v>
      </x:c>
      <x:c r="J141" s="27" t="n">
        <x:f>'计划购电量'!L141-'计划购电量'!B141</x:f>
        <x:v>-3.410605131648481e-13</x:v>
      </x:c>
      <x:c r="K141" s="27" t="n">
        <x:f>'计划购电量'!M141-'计划购电量'!B141</x:f>
        <x:v>-8.11797808729716</x:v>
      </x:c>
      <x:c r="L141" s="27" t="n">
        <x:f>'计划购电量'!N141-'计划购电量'!B141</x:f>
        <x:v>9.094947017729282e-13</x:v>
      </x:c>
      <x:c r="M141" s="27" t="n">
        <x:f>'计划购电量'!O141-'计划购电量'!B141</x:f>
        <x:v>0</x:v>
      </x:c>
      <x:c r="N141" s="27" t="n">
        <x:f>'计划购电量'!P141-'计划购电量'!B141</x:f>
        <x:v>2.2737367544323206e-13</x:v>
      </x:c>
      <x:c r="O141" s="27" t="n">
        <x:f>'计划购电量'!Q141-'计划购电量'!B141</x:f>
        <x:v>2.2737367544323206e-13</x:v>
      </x:c>
      <x:c r="P141" s="27" t="n">
        <x:f>'计划购电量'!R141-'计划购电量'!B141</x:f>
        <x:v>-4.252274236203448</x:v>
      </x:c>
    </x:row>
    <x:row r="142" ht="25" customHeight="1">
      <x:c r="A142" s="27" t="str">
        <x:f>'计划购电量'!A142</x:f>
        <x:v>23:20-23:30</x:v>
      </x:c>
      <x:c r="B142" s="27" t="n">
        <x:f>'计划购电量'!D142-'计划购电量'!B142</x:f>
        <x:v>244.03557437305938</x:v>
      </x:c>
      <x:c r="C142" s="27" t="n">
        <x:f>'计划购电量'!E142-'计划购电量'!B142</x:f>
        <x:v>3.410605131648481e-13</x:v>
      </x:c>
      <x:c r="D142" s="27" t="n">
        <x:f>'计划购电量'!F142-'计划购电量'!B142</x:f>
        <x:v>-8.117978087297502</x:v>
      </x:c>
      <x:c r="E142" s="27" t="n">
        <x:f>'计划购电量'!G142-'计划购电量'!B142</x:f>
        <x:v>-8.117978087297502</x:v>
      </x:c>
      <x:c r="F142" s="27" t="n">
        <x:f>'计划购电量'!H142-'计划购电量'!B142</x:f>
        <x:v>53.57443974006844</x:v>
      </x:c>
      <x:c r="G142" s="27" t="n">
        <x:f>'计划购电量'!I142-'计划购电量'!B142</x:f>
        <x:v>-53.57252354184277</x:v>
      </x:c>
      <x:c r="H142" s="27" t="n">
        <x:f>'计划购电量'!J142-'计划购电量'!B142</x:f>
        <x:v>4.547473508864641e-13</x:v>
      </x:c>
      <x:c r="I142" s="27" t="n">
        <x:f>'计划购电量'!K142-'计划购电量'!B142</x:f>
        <x:v>-8.11797808729716</x:v>
      </x:c>
      <x:c r="J142" s="27" t="n">
        <x:f>'计划购电量'!L142-'计划购电量'!B142</x:f>
        <x:v>0</x:v>
      </x:c>
      <x:c r="K142" s="27" t="n">
        <x:f>'计划购电量'!M142-'计划购电量'!B142</x:f>
        <x:v>-8.11797808729716</x:v>
      </x:c>
      <x:c r="L142" s="27" t="n">
        <x:f>'计划购电量'!N142-'计划购电量'!B142</x:f>
        <x:v>0</x:v>
      </x:c>
      <x:c r="M142" s="27" t="n">
        <x:f>'计划购电量'!O142-'计划购电量'!B142</x:f>
        <x:v>0</x:v>
      </x:c>
      <x:c r="N142" s="27" t="n">
        <x:f>'计划购电量'!P142-'计划购电量'!B142</x:f>
        <x:v>3.410605131648481e-13</x:v>
      </x:c>
      <x:c r="O142" s="27" t="n">
        <x:f>'计划购电量'!Q142-'计划购电量'!B142</x:f>
        <x:v>3.410605131648481e-13</x:v>
      </x:c>
      <x:c r="P142" s="27" t="n">
        <x:f>'计划购电量'!R142-'计划购电量'!B142</x:f>
        <x:v>-4.252274236203334</x:v>
      </x:c>
    </x:row>
    <x:row r="143" ht="25" customHeight="1">
      <x:c r="A143" s="27" t="str">
        <x:f>'计划购电量'!A143</x:f>
        <x:v>23:30-23:40</x:v>
      </x:c>
      <x:c r="B143" s="27" t="n">
        <x:f>'计划购电量'!D143-'计划购电量'!B143</x:f>
        <x:v>77.36890770639275</x:v>
      </x:c>
      <x:c r="C143" s="27" t="n">
        <x:f>'计划购电量'!E143-'计划购电量'!B143</x:f>
        <x:v>2.2737367544323206e-13</x:v>
      </x:c>
      <x:c r="D143" s="27" t="n">
        <x:f>'计划购电量'!F143-'计划购电量'!B143</x:f>
        <x:v>-8.117978087297615</x:v>
      </x:c>
      <x:c r="E143" s="27" t="n">
        <x:f>'计划购电量'!G143-'计划购电量'!B143</x:f>
        <x:v>-8.117978087297615</x:v>
      </x:c>
      <x:c r="F143" s="27" t="n">
        <x:f>'计划购电量'!H143-'计划购电量'!B143</x:f>
        <x:v>53.57443974006833</x:v>
      </x:c>
      <x:c r="G143" s="27" t="n">
        <x:f>'计划购电量'!I143-'计划购电量'!B143</x:f>
        <x:v>-53.572523541843</x:v>
      </x:c>
      <x:c r="H143" s="27" t="n">
        <x:f>'计划购电量'!J143-'计划购电量'!B143</x:f>
        <x:v>5.684341886080801e-13</x:v>
      </x:c>
      <x:c r="I143" s="27" t="n">
        <x:f>'计划购电量'!K143-'计划购电量'!B143</x:f>
        <x:v>-8.117978087297388</x:v>
      </x:c>
      <x:c r="J143" s="27" t="n">
        <x:f>'计划购电量'!L143-'计划购电量'!B143</x:f>
        <x:v>1.1368683772161603e-13</x:v>
      </x:c>
      <x:c r="K143" s="27" t="n">
        <x:f>'计划购电量'!M143-'计划购电量'!B143</x:f>
        <x:v>-8.117978087297388</x:v>
      </x:c>
      <x:c r="L143" s="27" t="n">
        <x:f>'计划购电量'!N143-'计划购电量'!B143</x:f>
        <x:v>0</x:v>
      </x:c>
      <x:c r="M143" s="27" t="n">
        <x:f>'计划购电量'!O143-'计划购电量'!B143</x:f>
        <x:v>-2.2737367544323206e-13</x:v>
      </x:c>
      <x:c r="N143" s="27" t="n">
        <x:f>'计划购电量'!P143-'计划购电量'!B143</x:f>
        <x:v>1.1368683772161603e-13</x:v>
      </x:c>
      <x:c r="O143" s="27" t="n">
        <x:f>'计划购电量'!Q143-'计划购电量'!B143</x:f>
        <x:v>1.1368683772161603e-13</x:v>
      </x:c>
      <x:c r="P143" s="27" t="n">
        <x:f>'计划购电量'!R143-'计划购电量'!B143</x:f>
        <x:v>-4.252274236203334</x:v>
      </x:c>
    </x:row>
    <x:row r="144" ht="25" customHeight="1">
      <x:c r="A144" s="27" t="str">
        <x:f>'计划购电量'!A144</x:f>
        <x:v>23:40-23:50</x:v>
      </x:c>
      <x:c r="B144" s="27" t="n">
        <x:f>'计划购电量'!D144-'计划购电量'!B144</x:f>
        <x:v>-89.29775896027388</x:v>
      </x:c>
      <x:c r="C144" s="27" t="n">
        <x:f>'计划购电量'!E144-'计划购电量'!B144</x:f>
        <x:v>0</x:v>
      </x:c>
      <x:c r="D144" s="27" t="n">
        <x:f>'计划购电量'!F144-'计划购电量'!B144</x:f>
        <x:v>-8.117978087297729</x:v>
      </x:c>
      <x:c r="E144" s="27" t="n">
        <x:f>'计划购电量'!G144-'计划购电量'!B144</x:f>
        <x:v>-8.117978087297615</x:v>
      </x:c>
      <x:c r="F144" s="27" t="n">
        <x:f>'计划购电量'!H144-'计划购电量'!B144</x:f>
        <x:v>53.57443974006833</x:v>
      </x:c>
      <x:c r="G144" s="27" t="n">
        <x:f>'计划购电量'!I144-'计划购电量'!B144</x:f>
        <x:v>-53.572523541842884</x:v>
      </x:c>
      <x:c r="H144" s="27" t="n">
        <x:f>'计划购电量'!J144-'计划购电量'!B144</x:f>
        <x:v>4.547473508864641e-13</x:v>
      </x:c>
      <x:c r="I144" s="27" t="n">
        <x:f>'计划购电量'!K144-'计划购电量'!B144</x:f>
        <x:v>-8.117978087298638</x:v>
      </x:c>
      <x:c r="J144" s="27" t="n">
        <x:f>'计划购电量'!L144-'计划购电量'!B144</x:f>
        <x:v>2.2737367544323206e-13</x:v>
      </x:c>
      <x:c r="K144" s="27" t="n">
        <x:f>'计划购电量'!M144-'计划购电量'!B144</x:f>
        <x:v>-8.117978087297274</x:v>
      </x:c>
      <x:c r="L144" s="27" t="n">
        <x:f>'计划购电量'!N144-'计划购电量'!B144</x:f>
        <x:v>0</x:v>
      </x:c>
      <x:c r="M144" s="27" t="n">
        <x:f>'计划购电量'!O144-'计划购电量'!B144</x:f>
        <x:v>0</x:v>
      </x:c>
      <x:c r="N144" s="27" t="n">
        <x:f>'计划购电量'!P144-'计划购电量'!B144</x:f>
        <x:v>2.2737367544323206e-13</x:v>
      </x:c>
      <x:c r="O144" s="27" t="n">
        <x:f>'计划购电量'!Q144-'计划购电量'!B144</x:f>
        <x:v>2.2737367544323206e-13</x:v>
      </x:c>
      <x:c r="P144" s="27" t="n">
        <x:f>'计划购电量'!R144-'计划购电量'!B144</x:f>
        <x:v>-4.252274236203448</x:v>
      </x:c>
    </x:row>
    <x:row r="145" ht="25" customHeight="1">
      <x:c r="A145" s="27" t="str">
        <x:f>'计划购电量'!A145</x:f>
        <x:v>23:50-24:00</x:v>
      </x:c>
      <x:c r="B145" s="27" t="n">
        <x:f>'计划购电量'!D145-'计划购电量'!B145</x:f>
        <x:v>77.36890770639275</x:v>
      </x:c>
      <x:c r="C145" s="27" t="n">
        <x:f>'计划购电量'!E145-'计划购电量'!B145</x:f>
        <x:v>-2.1600499167107046e-12</x:v>
      </x:c>
      <x:c r="D145" s="27" t="n">
        <x:f>'计划购电量'!F145-'计划购电量'!B145</x:f>
        <x:v>-8.117978087299662</x:v>
      </x:c>
      <x:c r="E145" s="27" t="n">
        <x:f>'计划购电量'!G145-'计划购电量'!B145</x:f>
        <x:v>-8.117978087297388</x:v>
      </x:c>
      <x:c r="F145" s="27" t="n">
        <x:f>'计划购电量'!H145-'计划购电量'!B145</x:f>
        <x:v>53.57443974006833</x:v>
      </x:c>
      <x:c r="G145" s="27" t="n">
        <x:f>'计划购电量'!I145-'计划购电量'!B145</x:f>
        <x:v>-53.572523541843</x:v>
      </x:c>
      <x:c r="H145" s="27" t="n">
        <x:f>'计划购电量'!J145-'计划购电量'!B145</x:f>
        <x:v>9.094947017729282e-13</x:v>
      </x:c>
      <x:c r="I145" s="27" t="n">
        <x:f>'计划购电量'!K145-'计划购电量'!B145</x:f>
        <x:v>-8.117978087295342</x:v>
      </x:c>
      <x:c r="J145" s="27" t="n">
        <x:f>'计划购电量'!L145-'计划购电量'!B145</x:f>
        <x:v>-1.1368683772161603e-12</x:v>
      </x:c>
      <x:c r="K145" s="27" t="n">
        <x:f>'计划购电量'!M145-'计划购电量'!B145</x:f>
        <x:v>-8.117978087297388</x:v>
      </x:c>
      <x:c r="L145" s="27" t="n">
        <x:f>'计划购电量'!N145-'计划购电量'!B145</x:f>
        <x:v>0</x:v>
      </x:c>
      <x:c r="M145" s="27" t="n">
        <x:f>'计划购电量'!O145-'计划购电量'!B145</x:f>
        <x:v>0</x:v>
      </x:c>
      <x:c r="N145" s="27" t="n">
        <x:f>'计划购电量'!P145-'计划购电量'!B145</x:f>
        <x:v>2.0463630789890885e-12</x:v>
      </x:c>
      <x:c r="O145" s="27" t="n">
        <x:f>'计划购电量'!Q145-'计划购电量'!B145</x:f>
        <x:v>2.0463630789890885e-12</x:v>
      </x:c>
      <x:c r="P145" s="27" t="n">
        <x:f>'计划购电量'!R145-'计划购电量'!B145</x:f>
        <x:v>38.27046812583126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44" customHeight="1">
      <x:c r="A1" s="30" t="str">
        <x:v>事项</x:v>
      </x:c>
      <x:c r="B1" s="30" t="str">
        <x:v>说明</x:v>
      </x:c>
    </x:row>
    <x:row r="2" ht="46" customHeight="1">
      <x:c r="A2" s="27" t="str">
        <x:v>文件用途</x:v>
      </x:c>
      <x:c r="B2" s="36" t="str">
        <x:v>以修正版2为基准，追加15组单因素方案的144段购电量；不覆盖原文件。</x:v>
      </x:c>
    </x:row>
    <x:row r="3" ht="46" customHeight="1">
      <x:c r="A3" s="27" t="str">
        <x:v>原列保持</x:v>
      </x:c>
      <x:c r="B3" s="36" t="str">
        <x:v>A为时间，B为基准购电量，C为原有基准电费。D:R为S01:S15购电量，不新增任何方案电费列。</x:v>
      </x:c>
    </x:row>
    <x:row r="4" ht="46" customHeight="1">
      <x:c r="A4" s="27" t="str">
        <x:v>源数据</x:v>
      </x:c>
      <x:c r="B4" s="36" t="str">
        <x:v>C:\Users\14051\Desktop\shuxuejianmo\附件1.xlsx</x:v>
      </x:c>
    </x:row>
    <x:row r="5" ht="46" customHeight="1">
      <x:c r="A5" s="27" t="str">
        <x:v>三层顺序</x:v>
      </x:c>
      <x:c r="B5" s="36" t="str">
        <x:v>第一层最小电费；第二层最小运行不平稳程度；第三层最小总购电量。电费仅在求解内部计算。</x:v>
      </x:c>
    </x:row>
    <x:row r="6" ht="46" customHeight="1">
      <x:c r="A6" s="27" t="str">
        <x:v>第一层约束</x:v>
      </x:c>
      <x:c r="B6" s="36" t="str">
        <x:v>后层电费≤本方案第一层最优电费×(1+δ)+0.0001元。δ分别取0%、0.05%、0.1%、0.2%、0.5%。</x:v>
      </x:c>
    </x:row>
    <x:row r="7" ht="46" customHeight="1">
      <x:c r="A7" s="27" t="str">
        <x:v>第二层硬约束</x:v>
      </x:c>
      <x:c r="B7" s="36" t="str">
        <x:v>变化上限取500、1000、2000kW/10分钟；运行时间取30、60、180分钟；同模式关闭取20、60、120分钟。一次仅改变一项。</x:v>
      </x:c>
    </x:row>
    <x:row r="8" ht="46" customHeight="1">
      <x:c r="A8" s="27" t="str">
        <x:v>硬约束的作用范围</x:v>
      </x:c>
      <x:c r="B8" s="36" t="str">
        <x:v>运行硬约束在三层均生效，因此调整它们也会改变第一层可行域；不是仅在第二层追加。</x:v>
      </x:c>
    </x:row>
    <x:row r="9" ht="46" customHeight="1">
      <x:c r="A9" s="27" t="str">
        <x:v>第二层惩罚</x:v>
      </x:c>
      <x:c r="B9" s="36" t="str">
        <x:v>F2=λV/(2×5000×144)+启动数/(2×144)+短段缺额/(2×144×2)。λ取0.25、1、4。</x:v>
      </x:c>
    </x:row>
    <x:row r="10" ht="46" customHeight="1">
      <x:c r="A10" s="27" t="str">
        <x:v>第三层约束</x:v>
      </x:c>
      <x:c r="B10" s="36" t="str">
        <x:v>第三层仍最小购电量；允许F2≤本方案第二层最优F2×(1+ρ)+1e-7。ρ取0%、0.5%、2%、5%，第一层电费上限始终保留。</x:v>
      </x:c>
    </x:row>
    <x:row r="11" ht="46" customHeight="1">
      <x:c r="A11" s="27" t="str">
        <x:v>不是改变目标顺序</x:v>
      </x:c>
      <x:c r="B11" s="36" t="str">
        <x:v>不把节能提到电费或运行安全之前；ρ放宽的是综合平稳性分数，不是单独承诺每个运行指标都更好。</x:v>
      </x:c>
    </x:row>
    <x:row r="12" ht="46" customHeight="1">
      <x:c r="A12" s="27" t="str">
        <x:v>固定条件</x:v>
      </x:c>
      <x:c r="B12" s="36" t="str">
        <x:v>总程效率90%，两侧效率均sqrt(0.9)，储电量范围1200至10800kWh，初末6000kWh，充放电功率上限5000kW，充放电互斥。</x:v>
      </x:c>
    </x:row>
    <x:row r="13" ht="46" customHeight="1">
      <x:c r="A13" s="27" t="str">
        <x:v>循环日边界</x:v>
      </x:c>
      <x:c r="B13" s="36" t="str">
        <x:v>跨午夜功率变化和启停也计入；同一模式关闭不是要求整机完全停机。</x:v>
      </x:c>
    </x:row>
    <x:row r="14" ht="46" customHeight="1">
      <x:c r="A14" s="27" t="str">
        <x:v>参数来源边界</x:v>
      </x:c>
      <x:c r="B14" s="36" t="str">
        <x:v>所有新范围是围绕现有基准的探索性运行假设，不是国标阈值或设备制造商实测限制。</x:v>
      </x:c>
    </x:row>
    <x:row r="15" ht="46" customHeight="1">
      <x:c r="A15" s="27" t="str">
        <x:v>为何测试180分钟</x:v>
      </x:c>
      <x:c r="B15" s="36" t="str">
        <x:v>基准最短运行约170分钟；60分钟用于检查非活跃限制，180分钟用于探索约束开始生效后的变化。</x:v>
      </x:c>
    </x:row>
    <x:row r="16" ht="46" customHeight="1">
      <x:c r="A16" s="27" t="str">
        <x:v>敏感度读法</x:v>
      </x:c>
      <x:c r="B16" s="36" t="str">
        <x:v>先看参数设置定位方案列，再看购电量差值与结果汇总；日总量接近不表示144段曲线完全相同。</x:v>
      </x:c>
    </x:row>
    <x:row r="17" ht="46" customHeight="1">
      <x:c r="A17" s="27" t="str">
        <x:v>变化时段数口径</x:v>
      </x:c>
      <x:c r="B17" s="36" t="str">
        <x:v>绝对差值超过0.001kWh才计为变化；小于该阈值可能是数值容差或近似等价解。</x:v>
      </x:c>
    </x:row>
    <x:row r="18" ht="46" customHeight="1">
      <x:c r="A18" s="27" t="str">
        <x:v>相同结果的意义</x:v>
      </x:c>
      <x:c r="B18" s="36" t="str">
        <x:v>部分限值调整可能仍不生效，因此结果相同也是有效结论；不能人为扰动数据制造差异。</x:v>
      </x:c>
    </x:row>
    <x:row r="19" ht="46" customHeight="1">
      <x:c r="A19" s="27" t="str">
        <x:v>比较限制</x:v>
      </x:c>
      <x:c r="B19" s="36" t="str">
        <x:v>不同λ下F2定义不同，勿直接比较F2大小；重点比较总变差、启动数、购电曲线。最优解不唯一时曲线可能有等价替代。</x:v>
      </x:c>
    </x:row>
    <x:row r="20" ht="46" customHeight="1">
      <x:c r="A20" s="27" t="str">
        <x:v>求解与验证</x:v>
      </x:c>
      <x:c r="B20" s="36" t="str">
        <x:v>SciPy/HiGHS三次MILP，相对间隙要求1e-9；校验功率平衡、储能递推、互斥、上下限、最短时长以及前层目标上限。</x:v>
      </x:c>
    </x:row>
    <x:row r="21" ht="46" customHeight="1">
      <x:c r="A21" s="27" t="str">
        <x:v>旧工作表说明</x:v>
      </x:c>
      <x:c r="B21" s="36" t="str">
        <x:v>原计算明细、充放电量、修订说明、参数敏感性和晚间对照均保留原内容，仅对应原基准或上一轮实验；本轮请看名称以本轮开头的工作表。</x:v>
      </x:c>
    </x:row>
    <x:row r="22" ht="46" customHeight="1">
      <x:c r="A22" s="27" t="str">
        <x:v>最优性范围</x:v>
      </x:c>
      <x:c r="B22" s="36" t="str">
        <x:v>各列是各自假设下的优化解；本轮为单因素分析，未评估多个参数同时变化的交互效应，也不据此宣称某组唯一最佳。</x:v>
      </x:c>
    </x:row>
  </x:sheetData>
  <x:pageMargins left="0.7" right="0.7" top="0.75" bottom="0.75" header="0.3" footer="0.3"/>
</x:worksheet>
</file>