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f9d74eef7b46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47f90420b6dc4893"/>
    <x:sheet xmlns:r="http://schemas.openxmlformats.org/officeDocument/2006/relationships" name="充放电量" sheetId="2" r:id="R9236395283ef40bc"/>
    <x:sheet xmlns:r="http://schemas.openxmlformats.org/officeDocument/2006/relationships" name="计算明细" sheetId="3" r:id="R83a7daa4523147d8"/>
    <x:sheet xmlns:r="http://schemas.openxmlformats.org/officeDocument/2006/relationships" name="求解核验" sheetId="4" r:id="R0eb9fe897c3741fb"/>
    <x:sheet xmlns:r="http://schemas.openxmlformats.org/officeDocument/2006/relationships" name="修订说明" sheetId="5" r:id="Ref489e0cd059469c"/>
    <x:sheet xmlns:r="http://schemas.openxmlformats.org/officeDocument/2006/relationships" name="参数敏感性" sheetId="6" r:id="Ra859b12e51a047d4"/>
    <x:sheet xmlns:r="http://schemas.openxmlformats.org/officeDocument/2006/relationships" name="晚间对照" sheetId="7" r:id="R6f36974ea3fa479f"/>
  </x:sheets>
</x:workbook>
</file>

<file path=xl/sharedStrings.xml><?xml version="1.0" encoding="utf-8"?>
<x:sst xmlns:x="http://schemas.openxmlformats.org/spreadsheetml/2006/main">
  <x:si>
    <x:t xml:space="preserve">时间段</x:t>
  </x:si>
  <x:si>
    <x:t xml:space="preserve">购电量</x:t>
  </x:si>
  <x:si>
    <x:t xml:space="preserve">0:00-0:10</x:t>
  </x:si>
  <x:si>
    <x:t xml:space="preserve">0:10-0:20</x:t>
  </x:si>
  <x:si>
    <x:t xml:space="preserve">0:20-0:30</x:t>
  </x:si>
  <x:si>
    <x:t xml:space="preserve">0:30-0:40</x:t>
  </x:si>
  <x:si>
    <x:t xml:space="preserve">0:40-0:50</x:t>
  </x:si>
  <x:si>
    <x:t xml:space="preserve">0:50-1:00</x:t>
  </x:si>
  <x:si>
    <x:t xml:space="preserve">1:00-1:10</x:t>
  </x:si>
  <x:si>
    <x:t xml:space="preserve">1:10-1:20</x:t>
  </x:si>
  <x:si>
    <x:t xml:space="preserve">1:20-1:30</x:t>
  </x:si>
  <x:si>
    <x:t xml:space="preserve">1:30-1:40</x:t>
  </x:si>
  <x:si>
    <x:t xml:space="preserve">1:40-1:50</x:t>
  </x:si>
  <x:si>
    <x:t xml:space="preserve">1:50-2:00</x:t>
  </x:si>
  <x:si>
    <x:t xml:space="preserve">2:00-2:10</x:t>
  </x:si>
  <x:si>
    <x:t xml:space="preserve">2:10-2:20</x:t>
  </x:si>
  <x:si>
    <x:t xml:space="preserve">2:20-2:30</x:t>
  </x:si>
  <x:si>
    <x:t xml:space="preserve">2:30-2:40</x:t>
  </x:si>
  <x:si>
    <x:t xml:space="preserve">2:40-2:50</x:t>
  </x:si>
  <x:si>
    <x:t xml:space="preserve">2:50-3:00</x:t>
  </x:si>
  <x:si>
    <x:t xml:space="preserve">3:00-3:10</x:t>
  </x:si>
  <x:si>
    <x:t xml:space="preserve">3:10-3:20</x:t>
  </x:si>
  <x:si>
    <x:t xml:space="preserve">3:20-3:30</x:t>
  </x:si>
  <x:si>
    <x:t xml:space="preserve">3:30-3:40</x:t>
  </x:si>
  <x:si>
    <x:t xml:space="preserve">3:40-3:50</x:t>
  </x:si>
  <x:si>
    <x:t xml:space="preserve">3:50-4:00</x:t>
  </x:si>
  <x:si>
    <x:t xml:space="preserve">4:00-4:10</x:t>
  </x:si>
  <x:si>
    <x:t xml:space="preserve">4:10-4:20</x:t>
  </x:si>
  <x:si>
    <x:t xml:space="preserve">4:20-4:30</x:t>
  </x:si>
  <x:si>
    <x:t xml:space="preserve">4:30-4:40</x:t>
  </x:si>
  <x:si>
    <x:t xml:space="preserve">4:40-4:50</x:t>
  </x:si>
  <x:si>
    <x:t xml:space="preserve">4:50-5:00</x:t>
  </x:si>
  <x:si>
    <x:t xml:space="preserve">5:00-5:10</x:t>
  </x:si>
  <x:si>
    <x:t xml:space="preserve">5:10-5:20</x:t>
  </x:si>
  <x:si>
    <x:t xml:space="preserve">5:20-5:30</x:t>
  </x:si>
  <x:si>
    <x:t xml:space="preserve">5:30-5:40</x:t>
  </x:si>
  <x:si>
    <x:t xml:space="preserve">5:40-5:50</x:t>
  </x:si>
  <x:si>
    <x:t xml:space="preserve">5:50-6:00</x:t>
  </x:si>
  <x:si>
    <x:t xml:space="preserve">6:00-6:10</x:t>
  </x:si>
  <x:si>
    <x:t xml:space="preserve">6:10-6:20</x:t>
  </x:si>
  <x:si>
    <x:t xml:space="preserve">6:20-6:30</x:t>
  </x:si>
  <x:si>
    <x:t xml:space="preserve">6:30-6:40</x:t>
  </x:si>
  <x:si>
    <x:t xml:space="preserve">6:40-6:50</x:t>
  </x:si>
  <x:si>
    <x:t xml:space="preserve">6:50-7:00</x:t>
  </x:si>
  <x:si>
    <x:t xml:space="preserve">7:00-7:10</x:t>
  </x:si>
  <x:si>
    <x:t xml:space="preserve">7:10-7:20</x:t>
  </x:si>
  <x:si>
    <x:t xml:space="preserve">7:20-7:30</x:t>
  </x:si>
  <x:si>
    <x:t xml:space="preserve">7:30-7:40</x:t>
  </x:si>
  <x:si>
    <x:t xml:space="preserve">7:40-7:50</x:t>
  </x:si>
  <x:si>
    <x:t xml:space="preserve">7:50-8:00</x:t>
  </x:si>
  <x:si>
    <x:t xml:space="preserve">8:00-8:10</x:t>
  </x:si>
  <x:si>
    <x:t xml:space="preserve">8:10-8:20</x:t>
  </x:si>
  <x:si>
    <x:t xml:space="preserve">8:20-8:30</x:t>
  </x:si>
  <x:si>
    <x:t xml:space="preserve">8:30-8:40</x:t>
  </x:si>
  <x:si>
    <x:t xml:space="preserve">8:40-8:50</x:t>
  </x:si>
  <x:si>
    <x:t xml:space="preserve">8:50-9:00</x:t>
  </x:si>
  <x:si>
    <x:t xml:space="preserve">9:00-9:10</x:t>
  </x:si>
  <x:si>
    <x:t xml:space="preserve">9:10-9:20</x:t>
  </x:si>
  <x:si>
    <x:t xml:space="preserve">9:20-9:30</x:t>
  </x:si>
  <x:si>
    <x:t xml:space="preserve">9:30-9:40</x:t>
  </x:si>
  <x:si>
    <x:t xml:space="preserve">9:40-9:50</x:t>
  </x:si>
  <x:si>
    <x:t xml:space="preserve">9:50-10:00</x:t>
  </x:si>
  <x:si>
    <x:t xml:space="preserve">10:00-10:10</x:t>
  </x:si>
  <x:si>
    <x:t xml:space="preserve">10:10-10:20</x:t>
  </x:si>
  <x:si>
    <x:t xml:space="preserve">10:20-10:30</x:t>
  </x:si>
  <x:si>
    <x:t xml:space="preserve">10:30-10:40</x:t>
  </x:si>
  <x:si>
    <x:t xml:space="preserve">10:40-10:50</x:t>
  </x:si>
  <x:si>
    <x:t xml:space="preserve">10:50-11:00</x:t>
  </x:si>
  <x:si>
    <x:t xml:space="preserve">11:00-11:10</x:t>
  </x:si>
  <x:si>
    <x:t xml:space="preserve">11:10-11:20</x:t>
  </x:si>
  <x:si>
    <x:t xml:space="preserve">11:20-11:30</x:t>
  </x:si>
  <x:si>
    <x:t xml:space="preserve">11:30-11:40</x:t>
  </x:si>
  <x:si>
    <x:t xml:space="preserve">11:40-11:50</x:t>
  </x:si>
  <x:si>
    <x:t xml:space="preserve">11:50-12:00</x:t>
  </x:si>
  <x:si>
    <x:t xml:space="preserve">12:00-12:10</x:t>
  </x:si>
  <x:si>
    <x:t xml:space="preserve">12:10-12:20</x:t>
  </x:si>
  <x:si>
    <x:t xml:space="preserve">12:20-12:30</x:t>
  </x:si>
  <x:si>
    <x:t xml:space="preserve">12:30-12:40</x:t>
  </x:si>
  <x:si>
    <x:t xml:space="preserve">12:40-12:50</x:t>
  </x:si>
  <x:si>
    <x:t xml:space="preserve">12:50-13:00</x:t>
  </x:si>
  <x:si>
    <x:t xml:space="preserve">13:00-13:10</x:t>
  </x:si>
  <x:si>
    <x:t xml:space="preserve">13:10-13:20</x:t>
  </x:si>
  <x:si>
    <x:t xml:space="preserve">13:20-13:30</x:t>
  </x:si>
  <x:si>
    <x:t xml:space="preserve">13:30-13:40</x:t>
  </x:si>
  <x:si>
    <x:t xml:space="preserve">13:40-13:50</x:t>
  </x:si>
  <x:si>
    <x:t xml:space="preserve">13:50-14:00</x:t>
  </x:si>
  <x:si>
    <x:t xml:space="preserve">14:00-14:10</x:t>
  </x:si>
  <x:si>
    <x:t xml:space="preserve">14:10-14:20</x:t>
  </x:si>
  <x:si>
    <x:t xml:space="preserve">14:20-14:30</x:t>
  </x:si>
  <x:si>
    <x:t xml:space="preserve">14:30-14:40</x:t>
  </x:si>
  <x:si>
    <x:t xml:space="preserve">14:40-14:50</x:t>
  </x:si>
  <x:si>
    <x:t xml:space="preserve">14:50-15:00</x:t>
  </x:si>
  <x:si>
    <x:t xml:space="preserve">15:00-15:10</x:t>
  </x:si>
  <x:si>
    <x:t xml:space="preserve">15:10-15:20</x:t>
  </x:si>
  <x:si>
    <x:t xml:space="preserve">15:20-15:30</x:t>
  </x:si>
  <x:si>
    <x:t xml:space="preserve">15:30-15:40</x:t>
  </x:si>
  <x:si>
    <x:t xml:space="preserve">15:40-15:50</x:t>
  </x:si>
  <x:si>
    <x:t xml:space="preserve">15:50-16:00</x:t>
  </x:si>
  <x:si>
    <x:t xml:space="preserve">16:00-16:10</x:t>
  </x:si>
  <x:si>
    <x:t xml:space="preserve">16:10-16:20</x:t>
  </x:si>
  <x:si>
    <x:t xml:space="preserve">16:20-16:30</x:t>
  </x:si>
  <x:si>
    <x:t xml:space="preserve">16:30-16:40</x:t>
  </x:si>
  <x:si>
    <x:t xml:space="preserve">16:40-16:50</x:t>
  </x:si>
  <x:si>
    <x:t xml:space="preserve">16:50-17:00</x:t>
  </x:si>
  <x:si>
    <x:t xml:space="preserve">17:00-17:10</x:t>
  </x:si>
  <x:si>
    <x:t xml:space="preserve">17:10-17:20</x:t>
  </x:si>
  <x:si>
    <x:t xml:space="preserve">17:20-17:30</x:t>
  </x:si>
  <x:si>
    <x:t xml:space="preserve">17:30-17:40</x:t>
  </x:si>
  <x:si>
    <x:t xml:space="preserve">17:40-17:50</x:t>
  </x:si>
  <x:si>
    <x:t xml:space="preserve">17:50-18:00</x:t>
  </x:si>
  <x:si>
    <x:t xml:space="preserve">18:00-18:10</x:t>
  </x:si>
  <x:si>
    <x:t xml:space="preserve">18:10-18:20</x:t>
  </x:si>
  <x:si>
    <x:t xml:space="preserve">18:20-18:30</x:t>
  </x:si>
  <x:si>
    <x:t xml:space="preserve">18:30-18:40</x:t>
  </x:si>
  <x:si>
    <x:t xml:space="preserve">18:40-18:50</x:t>
  </x:si>
  <x:si>
    <x:t xml:space="preserve">18:50-19:00</x:t>
  </x:si>
  <x:si>
    <x:t xml:space="preserve">19:00-19:10</x:t>
  </x:si>
  <x:si>
    <x:t xml:space="preserve">19:10-19:20</x:t>
  </x:si>
  <x:si>
    <x:t xml:space="preserve">19:20-19:30</x:t>
  </x:si>
  <x:si>
    <x:t xml:space="preserve">19:30-19:40</x:t>
  </x:si>
  <x:si>
    <x:t xml:space="preserve">19:40-19:50</x:t>
  </x:si>
  <x:si>
    <x:t xml:space="preserve">19:50-20:00</x:t>
  </x:si>
  <x:si>
    <x:t xml:space="preserve">20:00-20:10</x:t>
  </x:si>
  <x:si>
    <x:t xml:space="preserve">20:10-20:20</x:t>
  </x:si>
  <x:si>
    <x:t xml:space="preserve">20:20-20:30</x:t>
  </x:si>
  <x:si>
    <x:t xml:space="preserve">20:30-20:40</x:t>
  </x:si>
  <x:si>
    <x:t xml:space="preserve">20:40-20:50</x:t>
  </x:si>
  <x:si>
    <x:t xml:space="preserve">20:50-21:00</x:t>
  </x:si>
  <x:si>
    <x:t xml:space="preserve">21:00-21:10</x:t>
  </x:si>
  <x:si>
    <x:t xml:space="preserve">21:10-21:20</x:t>
  </x:si>
  <x:si>
    <x:t xml:space="preserve">21:20-21:30</x:t>
  </x:si>
  <x:si>
    <x:t xml:space="preserve">21:30-21:40</x:t>
  </x:si>
  <x:si>
    <x:t xml:space="preserve">21:40-21:50</x:t>
  </x:si>
  <x:si>
    <x:t xml:space="preserve">21:50-22:00</x:t>
  </x:si>
  <x:si>
    <x:t xml:space="preserve">22:00-22:10</x:t>
  </x:si>
  <x:si>
    <x:t xml:space="preserve">22:10-22:20</x:t>
  </x:si>
  <x:si>
    <x:t xml:space="preserve">22:20-22:30</x:t>
  </x:si>
  <x:si>
    <x:t xml:space="preserve">22:30-22:40</x:t>
  </x:si>
  <x:si>
    <x:t xml:space="preserve">22:40-22:50</x:t>
  </x:si>
  <x:si>
    <x:t xml:space="preserve">22:50-23:00</x:t>
  </x:si>
  <x:si>
    <x:t xml:space="preserve">23:00-23:10</x:t>
  </x:si>
  <x:si>
    <x:t xml:space="preserve">23:10-23:20</x:t>
  </x:si>
  <x:si>
    <x:t xml:space="preserve">23:20-23:30</x:t>
  </x:si>
  <x:si>
    <x:t xml:space="preserve">23:30-23:40</x:t>
  </x:si>
  <x:si>
    <x:t xml:space="preserve">23:40-23:50</x:t>
  </x:si>
  <x:si>
    <x:t xml:space="preserve">23:50-24:00</x:t>
  </x:si>
  <x:si>
    <x:t xml:space="preserve">充电量</x:t>
  </x:si>
  <x:si>
    <x:t xml:space="preserve">放电量</x:t>
  </x:si>
  <x:si>
    <x:t xml:space="preserve">时刻</x:t>
  </x:si>
  <x:si>
    <x:t xml:space="preserve">储电量</x:t>
  </x:si>
  <x:si>
    <x:t xml:space="preserve">0:00-4:00</x:t>
  </x:si>
  <x:si>
    <x:t xml:space="preserve">0:00</x:t>
  </x:si>
  <x:si>
    <x:t xml:space="preserve">4:00-8:00</x:t>
  </x:si>
  <x:si>
    <x:t xml:space="preserve">24:00</x:t>
  </x:si>
  <x:si>
    <x:t xml:space="preserve">8:00-12:00</x:t>
  </x:si>
  <x:si>
    <x:t xml:space="preserve">12:00-16:00</x:t>
  </x:si>
  <x:si>
    <x:t xml:space="preserve">16:00-20:00</x:t>
  </x:si>
  <x:si>
    <x:t xml:space="preserve">20:00-24:00</x:t>
  </x:si>
  <x:si>
    <x:t xml:space="preserve">电价</x:t>
  </x:si>
  <x:si>
    <x:t xml:space="preserve">负荷kW</x:t>
  </x:si>
  <x:si>
    <x:t xml:space="preserve">光伏kW</x:t>
  </x:si>
  <x:si>
    <x:t xml:space="preserve">购电kW</x:t>
  </x:si>
  <x:si>
    <x:t xml:space="preserve">充电kW</x:t>
  </x:si>
  <x:si>
    <x:t xml:space="preserve">放电kW</x:t>
  </x:si>
  <x:si>
    <x:t xml:space="preserve">富余kW</x:t>
  </x:si>
  <x:si>
    <x:t xml:space="preserve">期初kWh</x:t>
  </x:si>
  <x:si>
    <x:t xml:space="preserve">期末kWh</x:t>
  </x:si>
  <x:si>
    <x:t xml:space="preserve">购电kWh</x:t>
  </x:si>
  <x:si>
    <x:t xml:space="preserve">费用元</x:t>
  </x:si>
  <x:si>
    <x:t xml:space="preserve">总计</x:t>
  </x:si>
</x:sst>
</file>

<file path=xl/styles.xml><?xml version="1.0" encoding="utf-8"?>
<x:styleSheet xmlns:x="http://schemas.openxmlformats.org/spreadsheetml/2006/main">
  <x:numFmts count="4">
    <x:numFmt numFmtId="176" formatCode="0.0000_ "/>
    <x:numFmt numFmtId="177" formatCode="0.000000"/>
    <x:numFmt numFmtId="200" formatCode="0.0%"/>
    <x:numFmt numFmtId="201" formatCode="0.0000%"/>
  </x:numFmts>
  <x:fonts count="6">
    <x:font>
      <x:sz val="11"/>
      <x:color rgb="FF000000"/>
      <x:name val="Calibri"/>
    </x:font>
    <x:font>
      <x:sz val="9"/>
      <x:name val="宋体"/>
    </x:font>
    <x:font>
      <x:sz val="10"/>
      <x:color rgb="FF000000"/>
      <x:name val="宋体"/>
    </x:font>
    <x:font>
      <x:b/>
      <x:sz val="11"/>
      <x:name val="宋体"/>
    </x:font>
    <x:font>
      <x:sz val="11"/>
      <x:color rgb="FF000000"/>
      <x:name val="Microsoft YaHei"/>
    </x:font>
    <x:font>
      <x:b/>
      <x:sz val="11"/>
      <x:color rgb="FF000000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E7EFF5"/>
      </x:patternFill>
    </x:fill>
  </x:fills>
  <x:borders count="1">
    <x:border/>
  </x:borders>
  <x:cellStyleXfs count="1">
    <x:xf numFmtId="0" fontId="0" fillId="0" borderId="0"/>
  </x:cellStyleXfs>
  <x:cellXfs count="26">
    <x:xf numFmtId="0" fontId="0" fillId="0" borderId="0" xfId="0"/>
    <x:xf numFmtId="0" fontId="2" fillId="0" borderId="0" xfId="0" applyFont="1" applyAlignment="1">
      <x:alignment horizontal="center" vertical="center"/>
    </x:xf>
    <x:xf numFmtId="0" fontId="2" fillId="0" borderId="0" xfId="0" applyFont="1"/>
    <x:xf numFmtId="49" fontId="2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76" fontId="3" fillId="0" borderId="0" xfId="0" applyNumberFormat="1" applyFont="1" applyAlignment="1">
      <x:alignment horizontal="center" vertical="center"/>
    </x:xf>
    <x:xf numFmtId="177" fontId="2" fillId="0" borderId="0" xfId="0" applyNumberFormat="1" applyFont="1" applyAlignment="1">
      <x:alignment horizontal="center" vertical="center"/>
    </x:xf>
    <x:xf numFmtId="177" fontId="0" fillId="0" borderId="0" xfId="0" applyNumberFormat="1"/>
    <x:xf numFmtId="0" fontId="3" fillId="0" borderId="0" xfId="0" applyFont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200" fontId="4" fillId="0" borderId="0" xfId="0" applyNumberFormat="1" applyFont="1" applyFill="1" applyBorder="1"/>
    <x:xf numFmtId="201" fontId="4" fillId="0" borderId="0" xfId="0" applyNumberFormat="1" applyFont="1" applyFill="1" applyBorder="1"/>
    <x:xf numFmtId="177" fontId="4" fillId="0" borderId="0" xfId="0" applyNumberFormat="1" applyFont="1" applyFill="1" applyBorder="1"/>
    <x:xf numFmtId="177" fontId="4" fillId="2" borderId="0" xfId="0" applyNumberFormat="1" applyFont="1" applyFill="1" applyBorder="1"/>
    <x:xf numFmtId="177" fontId="5" fillId="2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177" fontId="4" fillId="0" borderId="0" xfId="0" applyNumberFormat="1" applyFont="1" applyFill="1" applyBorder="1" applyAlignment="1">
      <x:alignment wrapText="1"/>
    </x:xf>
    <x:xf numFmtId="177" fontId="5" fillId="2" borderId="0" xfId="0" applyNumberFormat="1" applyFont="1" applyFill="1" applyBorder="1" applyAlignment="1">
      <x:alignment wrapText="1"/>
    </x:xf>
    <x:xf numFmtId="200" fontId="4" fillId="0" borderId="0" xfId="0" applyNumberFormat="1" applyFont="1" applyFill="1" applyBorder="1" applyAlignment="1">
      <x:alignment wrapText="1"/>
    </x:xf>
    <x:xf numFmtId="201" fontId="4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177" fontId="0" fillId="0" borderId="0" xfId="0" applyNumberFormat="1" applyFont="1" applyFill="1" applyBorder="1" applyAlignment="1">
      <x:alignment wrapText="1"/>
    </x:xf>
    <x:xf numFmtId="177" fontId="0" fillId="0" borderId="0" xfId="0" applyNumberFormat="1" applyFont="1" applyFill="1" applyBorder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79ba5cb7154f47" /><Relationship Type="http://schemas.openxmlformats.org/officeDocument/2006/relationships/theme" Target="/xl/theme/theme1.xml" Id="Rb0b497624f4d41e9" /><Relationship Type="http://schemas.openxmlformats.org/officeDocument/2006/relationships/sharedStrings" Target="/xl/sharedStrings.xml" Id="R6ed54ad752ff4b51" /><Relationship Type="http://schemas.openxmlformats.org/officeDocument/2006/relationships/worksheet" Target="/xl/worksheets/sheet1.xml" Id="R47f90420b6dc4893" /><Relationship Type="http://schemas.openxmlformats.org/officeDocument/2006/relationships/worksheet" Target="/xl/worksheets/sheet2.xml" Id="R9236395283ef40bc" /><Relationship Type="http://schemas.openxmlformats.org/officeDocument/2006/relationships/worksheet" Target="/xl/worksheets/sheet3.xml" Id="R83a7daa4523147d8" /><Relationship Type="http://schemas.openxmlformats.org/officeDocument/2006/relationships/worksheet" Target="/xl/worksheets/sheet4.xml" Id="R0eb9fe897c3741fb" /><Relationship Type="http://schemas.openxmlformats.org/officeDocument/2006/relationships/worksheet" Target="/xl/worksheets/sheet5.xml" Id="Ref489e0cd059469c" /><Relationship Type="http://schemas.openxmlformats.org/officeDocument/2006/relationships/worksheet" Target="/xl/worksheets/sheet6.xml" Id="Ra859b12e51a047d4" /><Relationship Type="http://schemas.openxmlformats.org/officeDocument/2006/relationships/worksheet" Target="/xl/worksheets/sheet7.xml" Id="R6f36974ea3fa479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31606d1b55041a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晚间电池充电功率：原方案与修订方案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原充电kW</c:v>
          </c:tx>
          <c:marker>
            <c:symbol val="none"/>
          </c:marker>
          <c:cat>
            <c:strRef>
              <c:f>'晚间对照'!$A$2:$A$15</c:f>
              <c:strCache>
                <c:ptCount val="0"/>
              </c:strCache>
            </c:strRef>
          </c:cat>
          <c:val>
            <c:numRef>
              <c:f>'晚间对照'!$B$2:$B$15</c:f>
              <c:numCache>
                <c:formatCode>0</c:formatCode>
                <c:ptCount val="0"/>
              </c:numCache>
            </c:numRef>
          </c:val>
          <c:smooth val="0"/>
        </c:ser>
        <c:ser>
          <c:idx val="1"/>
          <c:order val="1"/>
          <c:tx>
            <c:v>新充电kW</c:v>
          </c:tx>
          <c:marker>
            <c:symbol val="none"/>
          </c:marker>
          <c:cat>
            <c:strRef>
              <c:f>'晚间对照'!$A$2:$A$15</c:f>
              <c:strCache>
                <c:ptCount val="0"/>
              </c:strCache>
            </c:strRef>
          </c:cat>
          <c:val>
            <c:numRef>
              <c:f>'晚间对照'!$C$2:$C$15</c:f>
              <c:numCache>
                <c:formatCode>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55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功率 / kW</a:t>
                </a:r>
              </a:p>
            </c:rich>
          </c:tx>
          <c:overlay val="0"/>
        </c:title>
        <c:numFmt formatCode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19</xdr:row>
      <xdr:rowOff>0</xdr:rowOff>
    </xdr:from>
    <xdr:to>
      <xdr:col>8</xdr:col>
      <xdr:colOff>0</xdr:colOff>
      <xdr:row>36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31606d1b55041a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1.xml" Id="Rb3f6fb8844ed4294" /></Relationships>
</file>

<file path=xl/worksheets/sheet1.xml><?xml version="1.0" encoding="utf-8"?>
<x:worksheet xmlns:x="http://schemas.openxmlformats.org/spreadsheetml/2006/main">
  <x:sheetFormatPr defaultColWidth="8.7265625" defaultRowHeight="14"/>
  <x:cols>
    <x:col min="1" max="1" width="28" style="1" customWidth="1"/>
    <x:col min="2" max="2" width="18" customWidth="1"/>
    <x:col min="3" max="3" width="20" style="2" hidden="0" customWidth="1"/>
    <x:col min="4" max="16384" width="8.7265625" style="2" customWidth="0"/>
  </x:cols>
  <x:sheetData>
    <x:row r="1" ht="14" customHeight="1">
      <x:c r="A1" s="4" t="s">
        <x:v>0</x:v>
      </x:c>
      <x:c r="B1" s="5" t="s">
        <x:v>1</x:v>
      </x:c>
      <x:c r="C1" t="str">
        <x:v>电费（元）</x:v>
      </x:c>
    </x:row>
    <x:row r="2" ht="14" customHeight="1">
      <x:c r="A2" s="1" t="s">
        <x:v>2</x:v>
      </x:c>
      <x:c r="B2" s="6" t="n">
        <x:f>'计算明细'!K2</x:f>
        <x:v>995.9388589602737</x:v>
      </x:c>
      <x:c r="C2" s="25" t="n">
        <x:f>B2*'计算明细'!B2</x:f>
        <x:v>423.0748272863243</x:v>
      </x:c>
    </x:row>
    <x:row r="3" ht="14" customHeight="1">
      <x:c r="A3" s="1" t="s">
        <x:v>3</x:v>
      </x:c>
      <x:c r="B3" s="6" t="n">
        <x:f>'计算明细'!K3</x:f>
        <x:v>995.6276256269407</x:v>
      </x:c>
      <x:c r="C3" s="25" t="n">
        <x:f>B3*'计算明细'!B3</x:f>
        <x:v>422.6439270786363</x:v>
      </x:c>
    </x:row>
    <x:row r="4" ht="14" customHeight="1">
      <x:c r="A4" s="1" t="s">
        <x:v>4</x:v>
      </x:c>
      <x:c r="B4" s="6" t="n">
        <x:f>'计算明细'!K4</x:f>
        <x:v>996.6816089602739</x:v>
      </x:c>
      <x:c r="C4" s="25" t="n">
        <x:f>B4*'计算明细'!B4</x:f>
        <x:v>425.48337886514093</x:v>
      </x:c>
    </x:row>
    <x:row r="5" ht="14" customHeight="1">
      <x:c r="A5" s="1" t="s">
        <x:v>5</x:v>
      </x:c>
      <x:c r="B5" s="6" t="n">
        <x:f>'计算明细'!K5</x:f>
        <x:v>998.3717089602738</x:v>
      </x:c>
      <x:c r="C5" s="25" t="n">
        <x:f>B5*'计算明细'!B5</x:f>
        <x:v>426.504394067829</x:v>
      </x:c>
    </x:row>
    <x:row r="6" ht="14" customHeight="1">
      <x:c r="A6" s="1" t="s">
        <x:v>6</x:v>
      </x:c>
      <x:c r="B6" s="6" t="n">
        <x:f>'计算明细'!K6</x:f>
        <x:v>999.1023089602738</x:v>
      </x:c>
      <x:c r="C6" s="25" t="n">
        <x:f>B6*'计算明细'!B6</x:f>
        <x:v>426.71659615693295</x:v>
      </x:c>
    </x:row>
    <x:row r="7" ht="14" customHeight="1">
      <x:c r="A7" s="1" t="s">
        <x:v>7</x:v>
      </x:c>
      <x:c r="B7" s="6" t="n">
        <x:f>'计算明细'!K7</x:f>
        <x:v>999.2711089602738</x:v>
      </x:c>
      <x:c r="C7" s="25" t="n">
        <x:f>B7*'计算明细'!B7</x:f>
        <x:v>428.1876701894773</x:v>
      </x:c>
    </x:row>
    <x:row r="8" ht="14" customHeight="1">
      <x:c r="A8" s="1" t="s">
        <x:v>8</x:v>
      </x:c>
      <x:c r="B8" s="6" t="n">
        <x:f>'计算明细'!K8</x:f>
        <x:v>1000.4907922936073</x:v>
      </x:c>
      <x:c r="C8" s="25" t="n">
        <x:f>B8*'计算明细'!B8</x:f>
        <x:v>431.3115805577741</x:v>
      </x:c>
    </x:row>
    <x:row r="9" ht="14" customHeight="1">
      <x:c r="A9" s="1" t="s">
        <x:v>9</x:v>
      </x:c>
      <x:c r="B9" s="6" t="n">
        <x:f>'计算明细'!K9</x:f>
        <x:v>1000.624958960274</x:v>
      </x:c>
      <x:c r="C9" s="25" t="n">
        <x:f>B9*'计算明细'!B9</x:f>
        <x:v>430.4688573447099</x:v>
      </x:c>
    </x:row>
    <x:row r="10" ht="14" customHeight="1">
      <x:c r="A10" s="1" t="s">
        <x:v>10</x:v>
      </x:c>
      <x:c r="B10" s="6" t="n">
        <x:f>'计算明细'!K10</x:f>
        <x:v>1000.4591422936076</x:v>
      </x:c>
      <x:c r="C10" s="25" t="n">
        <x:f>B10*'计算明细'!B10</x:f>
        <x:v>428.09646698743467</x:v>
      </x:c>
    </x:row>
    <x:row r="11" ht="14" customHeight="1">
      <x:c r="A11" s="1" t="s">
        <x:v>11</x:v>
      </x:c>
      <x:c r="B11" s="6" t="n">
        <x:f>'计算明细'!K11</x:f>
        <x:v>998.2750017920548</x:v>
      </x:c>
      <x:c r="C11" s="25" t="n">
        <x:f>B11*'计算明细'!B11</x:f>
        <x:v>430.45618077273406</x:v>
      </x:c>
    </x:row>
    <x:row r="12" ht="14" customHeight="1">
      <x:c r="A12" s="1" t="s">
        <x:v>12</x:v>
      </x:c>
      <x:c r="B12" s="6" t="n">
        <x:f>'计算明细'!K12</x:f>
        <x:v>833.7069017920549</x:v>
      </x:c>
      <x:c r="C12" s="25" t="n">
        <x:f>B12*'计算明细'!B12</x:f>
        <x:v>361.24520054649736</x:v>
      </x:c>
    </x:row>
    <x:row r="13" ht="14" customHeight="1">
      <x:c r="A13" s="1" t="s">
        <x:v>13</x:v>
      </x:c>
      <x:c r="B13" s="6" t="n">
        <x:f>'计算明细'!K13</x:f>
        <x:v>834.266935125388</x:v>
      </x:c>
      <x:c r="C13" s="25" t="n">
        <x:f>B13*'计算明细'!B13</x:f>
        <x:v>359.65247573255476</x:v>
      </x:c>
    </x:row>
    <x:row r="14" ht="14" customHeight="1">
      <x:c r="A14" s="1" t="s">
        <x:v>14</x:v>
      </x:c>
      <x:c r="B14" s="6" t="n">
        <x:f>'计算明细'!K14</x:f>
        <x:v>835.3978017920547</x:v>
      </x:c>
      <x:c r="C14" s="25" t="n">
        <x:f>B14*'计算明细'!B14</x:f>
        <x:v>358.6362763093291</x:v>
      </x:c>
    </x:row>
    <x:row r="15" ht="14" customHeight="1">
      <x:c r="A15" s="1" t="s">
        <x:v>15</x:v>
      </x:c>
      <x:c r="B15" s="6" t="n">
        <x:f>'计算明细'!K15</x:f>
        <x:v>669.9660017920546</x:v>
      </x:c>
      <x:c r="C15" s="25" t="n">
        <x:f>B15*'计算明细'!B15</x:f>
        <x:v>289.69329917488443</x:v>
      </x:c>
    </x:row>
    <x:row r="16" ht="14" customHeight="1">
      <x:c r="A16" s="1" t="s">
        <x:v>16</x:v>
      </x:c>
      <x:c r="B16" s="6" t="n">
        <x:f>'计算明细'!K16</x:f>
        <x:v>586.1447499999974</x:v>
      </x:c>
      <x:c r="C16" s="25" t="n">
        <x:f>B16*'计算明细'!B16</x:f>
        <x:v>255.96941232499887</x:v>
      </x:c>
    </x:row>
    <x:row r="17" ht="14" customHeight="1">
      <x:c r="A17" s="1" t="s">
        <x:v>17</x:v>
      </x:c>
      <x:c r="B17" s="6" t="n">
        <x:f>'计算明细'!K17</x:f>
        <x:v>586.3207666666672</x:v>
      </x:c>
      <x:c r="C17" s="25" t="n">
        <x:f>B17*'计算明细'!B17</x:f>
        <x:v>254.93226934666689</x:v>
      </x:c>
    </x:row>
    <x:row r="18" ht="14" customHeight="1">
      <x:c r="A18" s="1" t="s">
        <x:v>18</x:v>
      </x:c>
      <x:c r="B18" s="6" t="n">
        <x:f>'计算明细'!K18</x:f>
        <x:v>586.4252999999999</x:v>
      </x:c>
      <x:c r="C18" s="25" t="n">
        <x:f>B18*'计算明细'!B18</x:f>
        <x:v>254.21536754999994</x:v>
      </x:c>
    </x:row>
    <x:row r="19" ht="14" customHeight="1">
      <x:c r="A19" s="1" t="s">
        <x:v>19</x:v>
      </x:c>
      <x:c r="B19" s="6" t="n">
        <x:f>'计算明细'!K19</x:f>
        <x:v>586.8496000000006</x:v>
      </x:c>
      <x:c r="C19" s="25" t="n">
        <x:f>B19*'计算明细'!B19</x:f>
        <x:v>255.69037072000023</x:v>
      </x:c>
    </x:row>
    <x:row r="20" ht="14" customHeight="1">
      <x:c r="A20" s="1" t="s">
        <x:v>20</x:v>
      </x:c>
      <x:c r="B20" s="6" t="n">
        <x:f>'计算明细'!K20</x:f>
        <x:v>587.8210166666672</x:v>
      </x:c>
      <x:c r="C20" s="25" t="n">
        <x:f>B20*'计算明细'!B20</x:f>
        <x:v>257.11291269000026</x:v>
      </x:c>
    </x:row>
    <x:row r="21" ht="14" customHeight="1">
      <x:c r="A21" s="1" t="s">
        <x:v>21</x:v>
      </x:c>
      <x:c r="B21" s="6" t="n">
        <x:f>'计算明细'!K21</x:f>
        <x:v>589.5475666666672</x:v>
      </x:c>
      <x:c r="C21" s="25" t="n">
        <x:f>B21*'计算明细'!B21</x:f>
        <x:v>257.69124139000024</x:v>
      </x:c>
    </x:row>
    <x:row r="22" ht="14" customHeight="1">
      <x:c r="A22" s="1" t="s">
        <x:v>22</x:v>
      </x:c>
      <x:c r="B22" s="6" t="n">
        <x:f>'计算明细'!K22</x:f>
        <x:v>590.8134666666665</x:v>
      </x:c>
      <x:c r="C22" s="25" t="n">
        <x:f>B22*'计算明细'!B22</x:f>
        <x:v>257.35834607999993</x:v>
      </x:c>
    </x:row>
    <x:row r="23" ht="14" customHeight="1">
      <x:c r="A23" s="1" t="s">
        <x:v>23</x:v>
      </x:c>
      <x:c r="B23" s="6" t="n">
        <x:f>'计算明细'!K23</x:f>
        <x:v>590.2131166666666</x:v>
      </x:c>
      <x:c r="C23" s="25" t="n">
        <x:f>B23*'计算明细'!B23</x:f>
        <x:v>256.91976968499995</x:v>
      </x:c>
    </x:row>
    <x:row r="24" ht="14" customHeight="1">
      <x:c r="A24" s="1" t="s">
        <x:v>24</x:v>
      </x:c>
      <x:c r="B24" s="6" t="n">
        <x:f>'计算明细'!K24</x:f>
        <x:v>591.0662666666667</x:v>
      </x:c>
      <x:c r="C24" s="25" t="n">
        <x:f>B24*'计算明细'!B24</x:f>
        <x:v>257.70489226666666</x:v>
      </x:c>
    </x:row>
    <x:row r="25" ht="14" customHeight="1">
      <x:c r="A25" s="1" t="s">
        <x:v>25</x:v>
      </x:c>
      <x:c r="B25" s="6" t="n">
        <x:f>'计算明细'!K25</x:f>
        <x:v>593.3678333333332</x:v>
      </x:c>
      <x:c r="C25" s="25" t="n">
        <x:f>B25*'计算明细'!B25</x:f>
        <x:v>259.7764374333333</x:v>
      </x:c>
    </x:row>
    <x:row r="26" ht="14" customHeight="1">
      <x:c r="A26" s="1" t="s">
        <x:v>26</x:v>
      </x:c>
      <x:c r="B26" s="6" t="n">
        <x:f>'计算明细'!K26</x:f>
        <x:v>593.6596833333339</x:v>
      </x:c>
      <x:c r="C26" s="25" t="n">
        <x:f>B26*'计算明细'!B26</x:f>
        <x:v>261.26962663500024</x:v>
      </x:c>
    </x:row>
    <x:row r="27" ht="14" customHeight="1">
      <x:c r="A27" s="1" t="s">
        <x:v>27</x:v>
      </x:c>
      <x:c r="B27" s="6" t="n">
        <x:f>'计算明细'!K27</x:f>
        <x:v>592.7863833333338</x:v>
      </x:c>
      <x:c r="C27" s="25" t="n">
        <x:f>B27*'计算明细'!B27</x:f>
        <x:v>260.1739436450002</x:v>
      </x:c>
    </x:row>
    <x:row r="28" ht="14" customHeight="1">
      <x:c r="A28" s="1" t="s">
        <x:v>28</x:v>
      </x:c>
      <x:c r="B28" s="6" t="n">
        <x:f>'计算明细'!K28</x:f>
        <x:v>593.3378666666672</x:v>
      </x:c>
      <x:c r="C28" s="25" t="n">
        <x:f>B28*'计算明细'!B28</x:f>
        <x:v>258.93264501333357</x:v>
      </x:c>
    </x:row>
    <x:row r="29" ht="14" customHeight="1">
      <x:c r="A29" s="1" t="s">
        <x:v>29</x:v>
      </x:c>
      <x:c r="B29" s="6" t="n">
        <x:f>'计算明细'!K29</x:f>
        <x:v>596.6757666666672</x:v>
      </x:c>
      <x:c r="C29" s="25" t="n">
        <x:f>B29*'计算明细'!B29</x:f>
        <x:v>262.1196642966669</x:v>
      </x:c>
    </x:row>
    <x:row r="30" ht="14" customHeight="1">
      <x:c r="A30" s="1" t="s">
        <x:v>30</x:v>
      </x:c>
      <x:c r="B30" s="6" t="n">
        <x:f>'计算明细'!K30</x:f>
        <x:v>597.78025</x:v>
      </x:c>
      <x:c r="C30" s="25" t="n">
        <x:f>B30*'计算明细'!B30</x:f>
        <x:v>264.33842655</x:v>
      </x:c>
    </x:row>
    <x:row r="31" ht="14" customHeight="1">
      <x:c r="A31" s="1" t="s">
        <x:v>31</x:v>
      </x:c>
      <x:c r="B31" s="6" t="n">
        <x:f>'计算明细'!K31</x:f>
        <x:v>595.1624999999997</x:v>
      </x:c>
      <x:c r="C31" s="25" t="n">
        <x:f>B31*'计算明细'!B31</x:f>
        <x:v>261.57391874999985</x:v>
      </x:c>
    </x:row>
    <x:row r="32" ht="14" customHeight="1">
      <x:c r="A32" s="1" t="s">
        <x:v>32</x:v>
      </x:c>
      <x:c r="B32" s="6" t="n">
        <x:f>'计算明细'!K32</x:f>
        <x:v>590.6064999999999</x:v>
      </x:c>
      <x:c r="C32" s="25" t="n">
        <x:f>B32*'计算明细'!B32</x:f>
        <x:v>255.90979644999996</x:v>
      </x:c>
    </x:row>
    <x:row r="33" ht="14" customHeight="1">
      <x:c r="A33" s="1" t="s">
        <x:v>33</x:v>
      </x:c>
      <x:c r="B33" s="6" t="n">
        <x:f>'计算明细'!K33</x:f>
        <x:v>589.4851833333335</x:v>
      </x:c>
      <x:c r="C33" s="25" t="n">
        <x:f>B33*'计算明细'!B33</x:f>
        <x:v>261.67247288166675</x:v>
      </x:c>
    </x:row>
    <x:row r="34" ht="14" customHeight="1">
      <x:c r="A34" s="1" t="s">
        <x:v>34</x:v>
      </x:c>
      <x:c r="B34" s="6" t="n">
        <x:f>'计算明细'!K34</x:f>
        <x:v>413.49324265217416</x:v>
      </x:c>
      <x:c r="C34" s="25" t="n">
        <x:f>B34*'计算明细'!B34</x:f>
        <x:v>177.8434436647001</x:v>
      </x:c>
    </x:row>
    <x:row r="35" ht="14" customHeight="1">
      <x:c r="A35" s="1" t="s">
        <x:v>35</x:v>
      </x:c>
      <x:c r="B35" s="6" t="n">
        <x:f>'计算明细'!K35</x:f>
        <x:v>218.69757598550797</x:v>
      </x:c>
      <x:c r="C35" s="25" t="n">
        <x:f>B35*'计算明细'!B35</x:f>
        <x:v>81.20240996341911</x:v>
      </x:c>
    </x:row>
    <x:row r="36" ht="14" customHeight="1">
      <x:c r="A36" s="1" t="s">
        <x:v>36</x:v>
      </x:c>
      <x:c r="B36" s="6" t="n">
        <x:f>'计算明细'!K36</x:f>
        <x:v>92.84465931884127</x:v>
      </x:c>
      <x:c r="C36" s="25" t="n">
        <x:f>B36*'计算明细'!B36</x:f>
        <x:v>52.995731539194594</x:v>
      </x:c>
    </x:row>
    <x:row r="37" ht="14" customHeight="1">
      <x:c r="A37" s="1" t="s">
        <x:v>37</x:v>
      </x:c>
      <x:c r="B37" s="6" t="n">
        <x:f>'计算明细'!K37</x:f>
        <x:v>3.2916759855079367</x:v>
      </x:c>
      <x:c r="C37" s="25" t="n">
        <x:f>B37*'计算明细'!B37</x:f>
        <x:v>2.9950959792136715</x:v>
      </x:c>
    </x:row>
    <x:row r="38" ht="14" customHeight="1">
      <x:c r="A38" s="1" t="s">
        <x:v>38</x:v>
      </x:c>
      <x:c r="B38" s="6" t="n">
        <x:f>'计算明细'!K38</x:f>
        <x:v>0</x:v>
      </x:c>
      <x:c r="C38" s="25" t="n">
        <x:f>B38*'计算明细'!B38</x:f>
        <x:v>0</x:v>
      </x:c>
    </x:row>
    <x:row r="39" ht="14" customHeight="1">
      <x:c r="A39" s="1" t="s">
        <x:v>39</x:v>
      </x:c>
      <x:c r="B39" s="6" t="n">
        <x:f>'计算明细'!K39</x:f>
        <x:v>0</x:v>
      </x:c>
      <x:c r="C39" s="25" t="n">
        <x:f>B39*'计算明细'!B39</x:f>
        <x:v>0</x:v>
      </x:c>
    </x:row>
    <x:row r="40" ht="14" customHeight="1">
      <x:c r="A40" s="1" t="s">
        <x:v>40</x:v>
      </x:c>
      <x:c r="B40" s="6" t="n">
        <x:f>'计算明细'!K40</x:f>
        <x:v>0</x:v>
      </x:c>
      <x:c r="C40" s="25" t="n">
        <x:f>B40*'计算明细'!B40</x:f>
        <x:v>0</x:v>
      </x:c>
    </x:row>
    <x:row r="41" ht="14" customHeight="1">
      <x:c r="A41" s="1" t="s">
        <x:v>41</x:v>
      </x:c>
      <x:c r="B41" s="6" t="n">
        <x:f>'计算明细'!K41</x:f>
        <x:v>0</x:v>
      </x:c>
      <x:c r="C41" s="25" t="n">
        <x:f>B41*'计算明细'!B41</x:f>
        <x:v>0</x:v>
      </x:c>
    </x:row>
    <x:row r="42" ht="14" customHeight="1">
      <x:c r="A42" s="1" t="s">
        <x:v>42</x:v>
      </x:c>
      <x:c r="B42" s="6" t="n">
        <x:f>'计算明细'!K42</x:f>
        <x:v>0</x:v>
      </x:c>
      <x:c r="C42" s="25" t="n">
        <x:f>B42*'计算明细'!B42</x:f>
        <x:v>0</x:v>
      </x:c>
    </x:row>
    <x:row r="43" ht="14" customHeight="1">
      <x:c r="A43" s="1" t="s">
        <x:v>43</x:v>
      </x:c>
      <x:c r="B43" s="6" t="n">
        <x:f>'计算明细'!K43</x:f>
        <x:v>0</x:v>
      </x:c>
      <x:c r="C43" s="25" t="n">
        <x:f>B43*'计算明细'!B43</x:f>
        <x:v>0</x:v>
      </x:c>
    </x:row>
    <x:row r="44" ht="14" customHeight="1">
      <x:c r="A44" s="1" t="s">
        <x:v>44</x:v>
      </x:c>
      <x:c r="B44" s="6" t="n">
        <x:f>'计算明细'!K44</x:f>
        <x:v>0</x:v>
      </x:c>
      <x:c r="C44" s="25" t="n">
        <x:f>B44*'计算明细'!B44</x:f>
        <x:v>0</x:v>
      </x:c>
    </x:row>
    <x:row r="45" ht="14" customHeight="1">
      <x:c r="A45" s="1" t="s">
        <x:v>45</x:v>
      </x:c>
      <x:c r="B45" s="6" t="n">
        <x:f>'计算明细'!K45</x:f>
        <x:v>0</x:v>
      </x:c>
      <x:c r="C45" s="25" t="n">
        <x:f>B45*'计算明细'!B45</x:f>
        <x:v>0</x:v>
      </x:c>
    </x:row>
    <x:row r="46" ht="14" customHeight="1">
      <x:c r="A46" s="1" t="s">
        <x:v>46</x:v>
      </x:c>
      <x:c r="B46" s="6" t="n">
        <x:f>'计算明细'!K46</x:f>
        <x:v>0</x:v>
      </x:c>
      <x:c r="C46" s="25" t="n">
        <x:f>B46*'计算明细'!B46</x:f>
        <x:v>0</x:v>
      </x:c>
    </x:row>
    <x:row r="47" ht="14" customHeight="1">
      <x:c r="A47" s="1" t="s">
        <x:v>47</x:v>
      </x:c>
      <x:c r="B47" s="6" t="n">
        <x:f>'计算明细'!K47</x:f>
        <x:v>0</x:v>
      </x:c>
      <x:c r="C47" s="25" t="n">
        <x:f>B47*'计算明细'!B47</x:f>
        <x:v>0</x:v>
      </x:c>
    </x:row>
    <x:row r="48" ht="14" customHeight="1">
      <x:c r="A48" s="1" t="s">
        <x:v>48</x:v>
      </x:c>
      <x:c r="B48" s="6" t="n">
        <x:f>'计算明细'!K48</x:f>
        <x:v>0</x:v>
      </x:c>
      <x:c r="C48" s="25" t="n">
        <x:f>B48*'计算明细'!B48</x:f>
        <x:v>0</x:v>
      </x:c>
    </x:row>
    <x:row r="49" ht="14" customHeight="1">
      <x:c r="A49" s="1" t="s">
        <x:v>49</x:v>
      </x:c>
      <x:c r="B49" s="6" t="n">
        <x:f>'计算明细'!K49</x:f>
        <x:v>0</x:v>
      </x:c>
      <x:c r="C49" s="25" t="n">
        <x:f>B49*'计算明细'!B49</x:f>
        <x:v>0</x:v>
      </x:c>
    </x:row>
    <x:row r="50" ht="14" customHeight="1">
      <x:c r="A50" s="1" t="s">
        <x:v>50</x:v>
      </x:c>
      <x:c r="B50" s="6" t="n">
        <x:f>'计算明细'!K50</x:f>
        <x:v>0</x:v>
      </x:c>
      <x:c r="C50" s="25" t="n">
        <x:f>B50*'计算明细'!B50</x:f>
        <x:v>0</x:v>
      </x:c>
    </x:row>
    <x:row r="51" ht="14" customHeight="1">
      <x:c r="A51" s="1" t="s">
        <x:v>51</x:v>
      </x:c>
      <x:c r="B51" s="6" t="n">
        <x:f>'计算明细'!K51</x:f>
        <x:v>0</x:v>
      </x:c>
      <x:c r="C51" s="25" t="n">
        <x:f>B51*'计算明细'!B51</x:f>
        <x:v>0</x:v>
      </x:c>
    </x:row>
    <x:row r="52" ht="14" customHeight="1">
      <x:c r="A52" s="1" t="s">
        <x:v>52</x:v>
      </x:c>
      <x:c r="B52" s="6" t="n">
        <x:f>'计算明细'!K52</x:f>
        <x:v>0</x:v>
      </x:c>
      <x:c r="C52" s="25" t="n">
        <x:f>B52*'计算明细'!B52</x:f>
        <x:v>0</x:v>
      </x:c>
    </x:row>
    <x:row r="53" ht="14" customHeight="1">
      <x:c r="A53" s="1" t="s">
        <x:v>53</x:v>
      </x:c>
      <x:c r="B53" s="6" t="n">
        <x:f>'计算明细'!K53</x:f>
        <x:v>0</x:v>
      </x:c>
      <x:c r="C53" s="25" t="n">
        <x:f>B53*'计算明细'!B53</x:f>
        <x:v>0</x:v>
      </x:c>
    </x:row>
    <x:row r="54" ht="14" customHeight="1">
      <x:c r="A54" s="1" t="s">
        <x:v>54</x:v>
      </x:c>
      <x:c r="B54" s="6" t="n">
        <x:f>'计算明细'!K54</x:f>
        <x:v>0</x:v>
      </x:c>
      <x:c r="C54" s="25" t="n">
        <x:f>B54*'计算明细'!B54</x:f>
        <x:v>0</x:v>
      </x:c>
    </x:row>
    <x:row r="55" ht="14" customHeight="1">
      <x:c r="A55" s="1" t="s">
        <x:v>55</x:v>
      </x:c>
      <x:c r="B55" s="6" t="n">
        <x:f>'计算明细'!K55</x:f>
        <x:v>0</x:v>
      </x:c>
      <x:c r="C55" s="25" t="n">
        <x:f>B55*'计算明细'!B55</x:f>
        <x:v>0</x:v>
      </x:c>
    </x:row>
    <x:row r="56" ht="14" customHeight="1">
      <x:c r="A56" s="1" t="s">
        <x:v>56</x:v>
      </x:c>
      <x:c r="B56" s="6" t="n">
        <x:f>'计算明细'!K56</x:f>
        <x:v>0</x:v>
      </x:c>
      <x:c r="C56" s="25" t="n">
        <x:f>B56*'计算明细'!B56</x:f>
        <x:v>0</x:v>
      </x:c>
    </x:row>
    <x:row r="57" ht="14" customHeight="1">
      <x:c r="A57" s="1" t="s">
        <x:v>57</x:v>
      </x:c>
      <x:c r="B57" s="6" t="n">
        <x:f>'计算明细'!K57</x:f>
        <x:v>0</x:v>
      </x:c>
      <x:c r="C57" s="25" t="n">
        <x:f>B57*'计算明细'!B57</x:f>
        <x:v>0</x:v>
      </x:c>
    </x:row>
    <x:row r="58" ht="14" customHeight="1">
      <x:c r="A58" s="1" t="s">
        <x:v>58</x:v>
      </x:c>
      <x:c r="B58" s="6" t="n">
        <x:f>'计算明细'!K58</x:f>
        <x:v>0</x:v>
      </x:c>
      <x:c r="C58" s="25" t="n">
        <x:f>B58*'计算明细'!B58</x:f>
        <x:v>0</x:v>
      </x:c>
    </x:row>
    <x:row r="59" ht="14" customHeight="1">
      <x:c r="A59" s="1" t="s">
        <x:v>59</x:v>
      </x:c>
      <x:c r="B59" s="6" t="n">
        <x:f>'计算明细'!K59</x:f>
        <x:v>0</x:v>
      </x:c>
      <x:c r="C59" s="25" t="n">
        <x:f>B59*'计算明细'!B59</x:f>
        <x:v>0</x:v>
      </x:c>
    </x:row>
    <x:row r="60" ht="14" customHeight="1">
      <x:c r="A60" s="1" t="s">
        <x:v>60</x:v>
      </x:c>
      <x:c r="B60" s="6" t="n">
        <x:f>'计算明细'!K60</x:f>
        <x:v>0</x:v>
      </x:c>
      <x:c r="C60" s="25" t="n">
        <x:f>B60*'计算明细'!B60</x:f>
        <x:v>0</x:v>
      </x:c>
    </x:row>
    <x:row r="61" ht="14" customHeight="1">
      <x:c r="A61" s="1" t="s">
        <x:v>61</x:v>
      </x:c>
      <x:c r="B61" s="6" t="n">
        <x:f>'计算明细'!K61</x:f>
        <x:v>0</x:v>
      </x:c>
      <x:c r="C61" s="25" t="n">
        <x:f>B61*'计算明细'!B61</x:f>
        <x:v>0</x:v>
      </x:c>
    </x:row>
    <x:row r="62" ht="14" customHeight="1">
      <x:c r="A62" s="1" t="s">
        <x:v>62</x:v>
      </x:c>
      <x:c r="B62" s="6" t="n">
        <x:f>'计算明细'!K62</x:f>
        <x:v>0</x:v>
      </x:c>
      <x:c r="C62" s="25" t="n">
        <x:f>B62*'计算明细'!B62</x:f>
        <x:v>0</x:v>
      </x:c>
    </x:row>
    <x:row r="63" ht="14" customHeight="1">
      <x:c r="A63" s="1" t="s">
        <x:v>63</x:v>
      </x:c>
      <x:c r="B63" s="6" t="n">
        <x:f>'计算明细'!K63</x:f>
        <x:v>0</x:v>
      </x:c>
      <x:c r="C63" s="25" t="n">
        <x:f>B63*'计算明细'!B63</x:f>
        <x:v>0</x:v>
      </x:c>
    </x:row>
    <x:row r="64" ht="14" customHeight="1">
      <x:c r="A64" s="1" t="s">
        <x:v>64</x:v>
      </x:c>
      <x:c r="B64" s="6" t="n">
        <x:f>'计算明细'!K64</x:f>
        <x:v>0</x:v>
      </x:c>
      <x:c r="C64" s="25" t="n">
        <x:f>B64*'计算明细'!B64</x:f>
        <x:v>0</x:v>
      </x:c>
    </x:row>
    <x:row r="65" ht="14" customHeight="1">
      <x:c r="A65" s="1" t="s">
        <x:v>65</x:v>
      </x:c>
      <x:c r="B65" s="6" t="n">
        <x:f>'计算明细'!K65</x:f>
        <x:v>0</x:v>
      </x:c>
      <x:c r="C65" s="25" t="n">
        <x:f>B65*'计算明细'!B65</x:f>
        <x:v>0</x:v>
      </x:c>
    </x:row>
    <x:row r="66" ht="14" customHeight="1">
      <x:c r="A66" s="1" t="s">
        <x:v>66</x:v>
      </x:c>
      <x:c r="B66" s="6" t="n">
        <x:f>'计算明细'!K66</x:f>
        <x:v>0</x:v>
      </x:c>
      <x:c r="C66" s="25" t="n">
        <x:f>B66*'计算明细'!B66</x:f>
        <x:v>0</x:v>
      </x:c>
    </x:row>
    <x:row r="67" ht="14" customHeight="1">
      <x:c r="A67" s="1" t="s">
        <x:v>67</x:v>
      </x:c>
      <x:c r="B67" s="6" t="n">
        <x:f>'计算明细'!K67</x:f>
        <x:v>0</x:v>
      </x:c>
      <x:c r="C67" s="25" t="n">
        <x:f>B67*'计算明细'!B67</x:f>
        <x:v>0</x:v>
      </x:c>
    </x:row>
    <x:row r="68" ht="14" customHeight="1">
      <x:c r="A68" s="1" t="s">
        <x:v>68</x:v>
      </x:c>
      <x:c r="B68" s="6" t="n">
        <x:f>'计算明细'!K68</x:f>
        <x:v>152.38275121980058</x:v>
      </x:c>
      <x:c r="C68" s="25" t="n">
        <x:f>B68*'计算明细'!B68</x:f>
        <x:v>71.04083861867103</x:v>
      </x:c>
    </x:row>
    <x:row r="69" ht="14" customHeight="1">
      <x:c r="A69" s="1" t="s">
        <x:v>69</x:v>
      </x:c>
      <x:c r="B69" s="6" t="n">
        <x:f>'计算明细'!K69</x:f>
        <x:v>137.91363455313393</x:v>
      </x:c>
      <x:c r="C69" s="25" t="n">
        <x:f>B69*'计算明细'!B69</x:f>
        <x:v>69.05335682075416</x:v>
      </x:c>
    </x:row>
    <x:row r="70" ht="14" customHeight="1">
      <x:c r="A70" s="1" t="s">
        <x:v>70</x:v>
      </x:c>
      <x:c r="B70" s="6" t="n">
        <x:f>'计算明细'!K70</x:f>
        <x:v>292.89085121980065</x:v>
      </x:c>
      <x:c r="C70" s="25" t="n">
        <x:f>B70*'计算明细'!B70</x:f>
        <x:v>141.37841388379778</x:v>
      </x:c>
    </x:row>
    <x:row r="71" ht="14" customHeight="1">
      <x:c r="A71" s="1" t="s">
        <x:v>71</x:v>
      </x:c>
      <x:c r="B71" s="6" t="n">
        <x:f>'计算明细'!K71</x:f>
        <x:v>454.5770345531339</x:v>
      </x:c>
      <x:c r="C71" s="25" t="n">
        <x:f>B71*'计算明细'!B71</x:f>
        <x:v>217.51511103367457</x:v>
      </x:c>
    </x:row>
    <x:row r="72" ht="14" customHeight="1">
      <x:c r="A72" s="1" t="s">
        <x:v>72</x:v>
      </x:c>
      <x:c r="B72" s="6" t="n">
        <x:f>'计算明细'!K72</x:f>
        <x:v>520.1245166666668</x:v>
      </x:c>
      <x:c r="C72" s="25" t="n">
        <x:f>B72*'计算明细'!B72</x:f>
        <x:v>242.48204967000004</x:v>
      </x:c>
    </x:row>
    <x:row r="73" ht="14" customHeight="1">
      <x:c r="A73" s="1" t="s">
        <x:v>73</x:v>
      </x:c>
      <x:c r="B73" s="6" t="n">
        <x:f>'计算明细'!K73</x:f>
        <x:v>486.40290000000005</x:v>
      </x:c>
      <x:c r="C73" s="25" t="n">
        <x:f>B73*'计算明细'!B73</x:f>
        <x:v>215.57376528</x:v>
      </x:c>
    </x:row>
    <x:row r="74" ht="14" customHeight="1">
      <x:c r="A74" s="1" t="s">
        <x:v>74</x:v>
      </x:c>
      <x:c r="B74" s="6" t="n">
        <x:f>'计算明细'!K74</x:f>
        <x:v>480.4124499999998</x:v>
      </x:c>
      <x:c r="C74" s="25" t="n">
        <x:f>B74*'计算明细'!B74</x:f>
        <x:v>211.9099316949999</x:v>
      </x:c>
    </x:row>
    <x:row r="75" ht="14" customHeight="1">
      <x:c r="A75" s="1" t="s">
        <x:v>75</x:v>
      </x:c>
      <x:c r="B75" s="6" t="n">
        <x:f>'计算明细'!K75</x:f>
        <x:v>485.29999999999984</x:v>
      </x:c>
      <x:c r="C75" s="25" t="n">
        <x:f>B75*'计算明细'!B75</x:f>
        <x:v>220.86002999999994</x:v>
      </x:c>
    </x:row>
    <x:row r="76" ht="14" customHeight="1">
      <x:c r="A76" s="1" t="s">
        <x:v>76</x:v>
      </x:c>
      <x:c r="B76" s="6" t="n">
        <x:f>'计算明细'!K76</x:f>
        <x:v>419.7808166666665</x:v>
      </x:c>
      <x:c r="C76" s="25" t="n">
        <x:f>B76*'计算明细'!B76</x:f>
        <x:v>187.34817847833324</x:v>
      </x:c>
    </x:row>
    <x:row r="77" ht="14" customHeight="1">
      <x:c r="A77" s="1" t="s">
        <x:v>77</x:v>
      </x:c>
      <x:c r="B77" s="6" t="n">
        <x:f>'计算明细'!K77</x:f>
        <x:v>262.77791666666656</x:v>
      </x:c>
      <x:c r="C77" s="25" t="n">
        <x:f>B77*'计算明细'!B77</x:f>
        <x:v>108.08055712499996</x:v>
      </x:c>
    </x:row>
    <x:row r="78" ht="14" customHeight="1">
      <x:c r="A78" s="1" t="s">
        <x:v>78</x:v>
      </x:c>
      <x:c r="B78" s="6" t="n">
        <x:f>'计算明细'!K78</x:f>
        <x:v>126.62208333333334</x:v>
      </x:c>
      <x:c r="C78" s="25" t="n">
        <x:f>B78*'计算明细'!B78</x:f>
        <x:v>71.94666775</x:v>
      </x:c>
    </x:row>
    <x:row r="79" ht="14" customHeight="1">
      <x:c r="A79" s="1" t="s">
        <x:v>79</x:v>
      </x:c>
      <x:c r="B79" s="6" t="n">
        <x:f>'计算明细'!K79</x:f>
        <x:v>0</x:v>
      </x:c>
      <x:c r="C79" s="25" t="n">
        <x:f>B79*'计算明细'!B79</x:f>
        <x:v>0</x:v>
      </x:c>
    </x:row>
    <x:row r="80" ht="14" customHeight="1">
      <x:c r="A80" s="1" t="s">
        <x:v>80</x:v>
      </x:c>
      <x:c r="B80" s="6" t="n">
        <x:f>'计算明细'!K80</x:f>
        <x:v>0</x:v>
      </x:c>
      <x:c r="C80" s="25" t="n">
        <x:f>B80*'计算明细'!B80</x:f>
        <x:v>0</x:v>
      </x:c>
    </x:row>
    <x:row r="81" ht="14" customHeight="1">
      <x:c r="A81" s="1" t="s">
        <x:v>81</x:v>
      </x:c>
      <x:c r="B81" s="6" t="n">
        <x:f>'计算明细'!K81</x:f>
        <x:v>0</x:v>
      </x:c>
      <x:c r="C81" s="25" t="n">
        <x:f>B81*'计算明细'!B81</x:f>
        <x:v>0</x:v>
      </x:c>
    </x:row>
    <x:row r="82" ht="14" customHeight="1">
      <x:c r="A82" s="1" t="s">
        <x:v>82</x:v>
      </x:c>
      <x:c r="B82" s="6" t="n">
        <x:f>'计算明细'!K82</x:f>
        <x:v>0</x:v>
      </x:c>
      <x:c r="C82" s="25" t="n">
        <x:f>B82*'计算明细'!B82</x:f>
        <x:v>0</x:v>
      </x:c>
    </x:row>
    <x:row r="83" ht="14" customHeight="1">
      <x:c r="A83" s="1" t="s">
        <x:v>83</x:v>
      </x:c>
      <x:c r="B83" s="6" t="n">
        <x:f>'计算明细'!K83</x:f>
        <x:v>0</x:v>
      </x:c>
      <x:c r="C83" s="25" t="n">
        <x:f>B83*'计算明细'!B83</x:f>
        <x:v>0</x:v>
      </x:c>
    </x:row>
    <x:row r="84" ht="14" customHeight="1">
      <x:c r="A84" s="1" t="s">
        <x:v>84</x:v>
      </x:c>
      <x:c r="B84" s="6" t="n">
        <x:f>'计算明细'!K84</x:f>
        <x:v>0</x:v>
      </x:c>
      <x:c r="C84" s="25" t="n">
        <x:f>B84*'计算明细'!B84</x:f>
        <x:v>0</x:v>
      </x:c>
    </x:row>
    <x:row r="85" ht="14" customHeight="1">
      <x:c r="A85" s="1" t="s">
        <x:v>85</x:v>
      </x:c>
      <x:c r="B85" s="6" t="n">
        <x:f>'计算明细'!K85</x:f>
        <x:v>0</x:v>
      </x:c>
      <x:c r="C85" s="25" t="n">
        <x:f>B85*'计算明细'!B85</x:f>
        <x:v>0</x:v>
      </x:c>
    </x:row>
    <x:row r="86" ht="14" customHeight="1">
      <x:c r="A86" s="1" t="s">
        <x:v>86</x:v>
      </x:c>
      <x:c r="B86" s="6" t="n">
        <x:f>'计算明细'!K86</x:f>
        <x:v>0</x:v>
      </x:c>
      <x:c r="C86" s="25" t="n">
        <x:f>B86*'计算明细'!B86</x:f>
        <x:v>0</x:v>
      </x:c>
    </x:row>
    <x:row r="87" ht="14" customHeight="1">
      <x:c r="A87" s="1" t="s">
        <x:v>87</x:v>
      </x:c>
      <x:c r="B87" s="6" t="n">
        <x:f>'计算明细'!K87</x:f>
        <x:v>0</x:v>
      </x:c>
      <x:c r="C87" s="25" t="n">
        <x:f>B87*'计算明细'!B87</x:f>
        <x:v>0</x:v>
      </x:c>
    </x:row>
    <x:row r="88" ht="14" customHeight="1">
      <x:c r="A88" s="1" t="s">
        <x:v>88</x:v>
      </x:c>
      <x:c r="B88" s="6" t="n">
        <x:f>'计算明细'!K88</x:f>
        <x:v>0</x:v>
      </x:c>
      <x:c r="C88" s="25" t="n">
        <x:f>B88*'计算明细'!B88</x:f>
        <x:v>0</x:v>
      </x:c>
    </x:row>
    <x:row r="89" ht="14" customHeight="1">
      <x:c r="A89" s="1" t="s">
        <x:v>89</x:v>
      </x:c>
      <x:c r="B89" s="6" t="n">
        <x:f>'计算明细'!K89</x:f>
        <x:v>23.78136666666675</x:v>
      </x:c>
      <x:c r="C89" s="25" t="n">
        <x:f>B89*'计算明细'!B89</x:f>
        <x:v>25.935958486666756</x:v>
      </x:c>
    </x:row>
    <x:row r="90" ht="14" customHeight="1">
      <x:c r="A90" s="1" t="s">
        <x:v>90</x:v>
      </x:c>
      <x:c r="B90" s="6" t="n">
        <x:f>'计算明细'!K90</x:f>
        <x:v>67.3200166666667</x:v>
      </x:c>
      <x:c r="C90" s="25" t="n">
        <x:f>B90*'计算明细'!B90</x:f>
        <x:v>63.1192476266667</x:v>
      </x:c>
    </x:row>
    <x:row r="91" ht="14" customHeight="1">
      <x:c r="A91" s="1" t="s">
        <x:v>91</x:v>
      </x:c>
      <x:c r="B91" s="6" t="n">
        <x:f>'计算明细'!K91</x:f>
        <x:v>112.0898666666667</x:v>
      </x:c>
      <x:c r="C91" s="25" t="n">
        <x:f>B91*'计算明细'!B91</x:f>
        <x:v>75.03295674666668</x:v>
      </x:c>
    </x:row>
    <x:row r="92" ht="14" customHeight="1">
      <x:c r="A92" s="1" t="s">
        <x:v>92</x:v>
      </x:c>
      <x:c r="B92" s="6" t="n">
        <x:f>'计算明细'!K92</x:f>
        <x:v>154.26184999999998</x:v>
      </x:c>
      <x:c r="C92" s="25" t="n">
        <x:f>B92*'计算明细'!B92</x:f>
        <x:v>101.81282099999999</x:v>
      </x:c>
    </x:row>
    <x:row r="93" ht="14" customHeight="1">
      <x:c r="A93" s="1" t="s">
        <x:v>93</x:v>
      </x:c>
      <x:c r="B93" s="6" t="n">
        <x:f>'计算明细'!K93</x:f>
        <x:v>197.52351666666664</x:v>
      </x:c>
      <x:c r="C93" s="25" t="n">
        <x:f>B93*'计算明细'!B93</x:f>
        <x:v>142.55272197833332</x:v>
      </x:c>
    </x:row>
    <x:row r="94" ht="14" customHeight="1">
      <x:c r="A94" s="1" t="s">
        <x:v>94</x:v>
      </x:c>
      <x:c r="B94" s="6" t="n">
        <x:f>'计算明细'!K94</x:f>
        <x:v>244.81403333333324</x:v>
      </x:c>
      <x:c r="C94" s="25" t="n">
        <x:f>B94*'计算明细'!B94</x:f>
        <x:v>178.91009555999995</x:v>
      </x:c>
    </x:row>
    <x:row r="95" ht="14" customHeight="1">
      <x:c r="A95" s="1" t="s">
        <x:v>95</x:v>
      </x:c>
      <x:c r="B95" s="6" t="n">
        <x:f>'计算明细'!K95</x:f>
        <x:v>295.53461666666635</x:v>
      </x:c>
      <x:c r="C95" s="25" t="n">
        <x:f>B95*'计算明细'!B95</x:f>
        <x:v>222.65578019666643</x:v>
      </x:c>
    </x:row>
    <x:row r="96" ht="14" customHeight="1">
      <x:c r="A96" s="1" t="s">
        <x:v>96</x:v>
      </x:c>
      <x:c r="B96" s="6" t="n">
        <x:f>'计算明细'!K96</x:f>
        <x:v>345.77750000000003</x:v>
      </x:c>
      <x:c r="C96" s="25" t="n">
        <x:f>B96*'计算明细'!B96</x:f>
        <x:v>270.50173825</x:v>
      </x:c>
    </x:row>
    <x:row r="97" ht="14" customHeight="1">
      <x:c r="A97" s="1" t="s">
        <x:v>97</x:v>
      </x:c>
      <x:c r="B97" s="6" t="n">
        <x:f>'计算明细'!K97</x:f>
        <x:v>394.93148333333335</x:v>
      </x:c>
      <x:c r="C97" s="25" t="n">
        <x:f>B97*'计算明细'!B97</x:f>
        <x:v>318.117309825</x:v>
      </x:c>
    </x:row>
    <x:row r="98" ht="14" customHeight="1">
      <x:c r="A98" s="1" t="s">
        <x:v>98</x:v>
      </x:c>
      <x:c r="B98" s="6" t="n">
        <x:f>'计算明细'!K98</x:f>
        <x:v>445.43165</x:v>
      </x:c>
      <x:c r="C98" s="25" t="n">
        <x:f>B98*'计算明细'!B98</x:f>
        <x:v>368.41651771499994</x:v>
      </x:c>
    </x:row>
    <x:row r="99" ht="14" customHeight="1">
      <x:c r="A99" s="1" t="s">
        <x:v>99</x:v>
      </x:c>
      <x:c r="B99" s="6" t="n">
        <x:f>'计算明细'!K99</x:f>
        <x:v>495.6965833333332</x:v>
      </x:c>
      <x:c r="C99" s="25" t="n">
        <x:f>B99*'计算明细'!B99</x:f>
        <x:v>422.28391934166655</x:v>
      </x:c>
    </x:row>
    <x:row r="100" ht="14" customHeight="1">
      <x:c r="A100" s="1" t="s">
        <x:v>100</x:v>
      </x:c>
      <x:c r="B100" s="6" t="n">
        <x:f>'计算明细'!K100</x:f>
        <x:v>547.1190500000006</x:v>
      </x:c>
      <x:c r="C100" s="25" t="n">
        <x:f>B100*'计算明细'!B100</x:f>
        <x:v>480.9723568550005</x:v>
      </x:c>
    </x:row>
    <x:row r="101" ht="14" customHeight="1">
      <x:c r="A101" s="1" t="s">
        <x:v>101</x:v>
      </x:c>
      <x:c r="B101" s="6" t="n">
        <x:f>'计算明细'!K101</x:f>
        <x:v>599.9854333333338</x:v>
      </x:c>
      <x:c r="C101" s="25" t="n">
        <x:f>B101*'计算明细'!B101</x:f>
        <x:v>541.4268550400004</x:v>
      </x:c>
    </x:row>
    <x:row r="102" ht="14" customHeight="1">
      <x:c r="A102" s="1" t="s">
        <x:v>102</x:v>
      </x:c>
      <x:c r="B102" s="6" t="n">
        <x:f>'计算明细'!K102</x:f>
        <x:v>635.4297499999998</x:v>
      </x:c>
      <x:c r="C102" s="25" t="n">
        <x:f>B102*'计算明细'!B102</x:f>
        <x:v>582.2442799249998</x:v>
      </x:c>
    </x:row>
    <x:row r="103" ht="14" customHeight="1">
      <x:c r="A103" s="1" t="s">
        <x:v>103</x:v>
      </x:c>
      <x:c r="B103" s="6" t="n">
        <x:f>'计算明细'!K103</x:f>
        <x:v>660.8306833333334</x:v>
      </x:c>
      <x:c r="C103" s="25" t="n">
        <x:f>B103*'计算明细'!B103</x:f>
        <x:v>612.19354504</x:v>
      </x:c>
    </x:row>
    <x:row r="104" ht="14" customHeight="1">
      <x:c r="A104" s="1" t="s">
        <x:v>104</x:v>
      </x:c>
      <x:c r="B104" s="6" t="n">
        <x:f>'计算明细'!K104</x:f>
        <x:v>702.0369333333333</x:v>
      </x:c>
      <x:c r="C104" s="25" t="n">
        <x:f>B104*'计算明细'!B104</x:f>
        <x:v>664.26734632</x:v>
      </x:c>
    </x:row>
    <x:row r="105" ht="14" customHeight="1">
      <x:c r="A105" s="1" t="s">
        <x:v>105</x:v>
      </x:c>
      <x:c r="B105" s="6" t="n">
        <x:f>'计算明细'!K105</x:f>
        <x:v>738.0657833333331</x:v>
      </x:c>
      <x:c r="C105" s="25" t="n">
        <x:f>B105*'计算明细'!B105</x:f>
        <x:v>719.023686123333</x:v>
      </x:c>
    </x:row>
    <x:row r="106" ht="14" customHeight="1">
      <x:c r="A106" s="1" t="s">
        <x:v>106</x:v>
      </x:c>
      <x:c r="B106" s="6" t="n">
        <x:f>'计算明细'!K106</x:f>
        <x:v>775.9447166666665</x:v>
      </x:c>
      <x:c r="C106" s="25" t="n">
        <x:f>B106*'计算明细'!B106</x:f>
        <x:v>765.2366795766665</x:v>
      </x:c>
    </x:row>
    <x:row r="107" ht="14" customHeight="1">
      <x:c r="A107" s="1" t="s">
        <x:v>107</x:v>
      </x:c>
      <x:c r="B107" s="6" t="n">
        <x:f>'计算明细'!K107</x:f>
        <x:v>826.0832499999999</x:v>
      </x:c>
      <x:c r="C107" s="25" t="n">
        <x:f>B107*'计算明细'!B107</x:f>
        <x:v>806.2572519999999</x:v>
      </x:c>
    </x:row>
    <x:row r="108" ht="14" customHeight="1">
      <x:c r="A108" s="1" t="s">
        <x:v>108</x:v>
      </x:c>
      <x:c r="B108" s="6" t="n">
        <x:f>'计算明细'!K108</x:f>
        <x:v>762.4228000000012</x:v>
      </x:c>
      <x:c r="C108" s="25" t="n">
        <x:f>B108*'计算明细'!B108</x:f>
        <x:v>818.9945717600013</x:v>
      </x:c>
    </x:row>
    <x:row r="109" ht="14" customHeight="1">
      <x:c r="A109" s="1" t="s">
        <x:v>109</x:v>
      </x:c>
      <x:c r="B109" s="6" t="n">
        <x:f>'计算明细'!K109</x:f>
        <x:v>636.9826166666667</x:v>
      </x:c>
      <x:c r="C109" s="25" t="n">
        <x:f>B109*'计算明细'!B109</x:f>
        <x:v>784.3166959016667</x:v>
      </x:c>
    </x:row>
    <x:row r="110" ht="14" customHeight="1">
      <x:c r="A110" s="1" t="s">
        <x:v>110</x:v>
      </x:c>
      <x:c r="B110" s="6" t="n">
        <x:f>'计算明细'!K110</x:f>
        <x:v>621.850212108201</x:v>
      </x:c>
      <x:c r="C110" s="25" t="n">
        <x:f>B110*'计算明细'!B110</x:f>
        <x:v>781.1060514291113</x:v>
      </x:c>
    </x:row>
    <x:row r="111" ht="14" customHeight="1">
      <x:c r="A111" s="1" t="s">
        <x:v>111</x:v>
      </x:c>
      <x:c r="B111" s="6" t="n">
        <x:f>'计算明细'!K111</x:f>
        <x:v>492.85277877486743</x:v>
      </x:c>
      <x:c r="C111" s="25" t="n">
        <x:f>B111*'计算明细'!B111</x:f>
        <x:v>613.4538537410774</x:v>
      </x:c>
    </x:row>
    <x:row r="112" ht="14" customHeight="1">
      <x:c r="A112" s="1" t="s">
        <x:v>112</x:v>
      </x:c>
      <x:c r="B112" s="6" t="n">
        <x:f>'计算明细'!K112</x:f>
        <x:v>333.6240787748668</x:v>
      </x:c>
      <x:c r="C112" s="25" t="n">
        <x:f>B112*'计算明细'!B112</x:f>
        <x:v>418.53140682307037</x:v>
      </x:c>
    </x:row>
    <x:row r="113" ht="14" customHeight="1">
      <x:c r="A113" s="1" t="s">
        <x:v>113</x:v>
      </x:c>
      <x:c r="B113" s="6" t="n">
        <x:f>'计算明细'!K113</x:f>
        <x:v>177.19329544153393</x:v>
      </x:c>
      <x:c r="C113" s="25" t="n">
        <x:f>B113*'计算明细'!B113</x:f>
        <x:v>221.8814445518888</x:v>
      </x:c>
    </x:row>
    <x:row r="114" ht="14" customHeight="1">
      <x:c r="A114" s="1" t="s">
        <x:v>114</x:v>
      </x:c>
      <x:c r="B114" s="6" t="n">
        <x:f>'计算明细'!K114</x:f>
        <x:v>18.656512108200634</x:v>
      </x:c>
      <x:c r="C114" s="25" t="n">
        <x:f>B114*'计算明细'!B114</x:f>
        <x:v>24.031453246573236</x:v>
      </x:c>
    </x:row>
    <x:row r="115" ht="14" customHeight="1">
      <x:c r="A115" s="1" t="s">
        <x:v>115</x:v>
      </x:c>
      <x:c r="B115" s="6" t="n">
        <x:f>'计算明细'!K115</x:f>
        <x:v>0</x:v>
      </x:c>
      <x:c r="C115" s="25" t="n">
        <x:f>B115*'计算明细'!B115</x:f>
        <x:v>0</x:v>
      </x:c>
    </x:row>
    <x:row r="116" ht="14" customHeight="1">
      <x:c r="A116" s="1" t="s">
        <x:v>116</x:v>
      </x:c>
      <x:c r="B116" s="6" t="n">
        <x:f>'计算明细'!K116</x:f>
        <x:v>0</x:v>
      </x:c>
      <x:c r="C116" s="25" t="n">
        <x:f>B116*'计算明细'!B116</x:f>
        <x:v>0</x:v>
      </x:c>
    </x:row>
    <x:row r="117" ht="14" customHeight="1">
      <x:c r="A117" s="1" t="s">
        <x:v>117</x:v>
      </x:c>
      <x:c r="B117" s="6" t="n">
        <x:f>'计算明细'!K117</x:f>
        <x:v>0</x:v>
      </x:c>
      <x:c r="C117" s="25" t="n">
        <x:f>B117*'计算明细'!B117</x:f>
        <x:v>0</x:v>
      </x:c>
    </x:row>
    <x:row r="118" ht="14" customHeight="1">
      <x:c r="A118" s="1" t="s">
        <x:v>118</x:v>
      </x:c>
      <x:c r="B118" s="6" t="n">
        <x:f>'计算明细'!K118</x:f>
        <x:v>0</x:v>
      </x:c>
      <x:c r="C118" s="25" t="n">
        <x:f>B118*'计算明细'!B118</x:f>
        <x:v>0</x:v>
      </x:c>
    </x:row>
    <x:row r="119" ht="14" customHeight="1">
      <x:c r="A119" s="1" t="s">
        <x:v>119</x:v>
      </x:c>
      <x:c r="B119" s="6" t="n">
        <x:f>'计算明细'!K119</x:f>
        <x:v>0</x:v>
      </x:c>
      <x:c r="C119" s="25" t="n">
        <x:f>B119*'计算明细'!B119</x:f>
        <x:v>0</x:v>
      </x:c>
    </x:row>
    <x:row r="120" ht="14" customHeight="1">
      <x:c r="A120" s="1" t="s">
        <x:v>120</x:v>
      </x:c>
      <x:c r="B120" s="6" t="n">
        <x:f>'计算明细'!K120</x:f>
        <x:v>0.2174666666667993</x:v>
      </x:c>
      <x:c r="C120" s="25" t="n">
        <x:f>B120*'计算明细'!B120</x:f>
        <x:v>0.2929928400001787</x:v>
      </x:c>
    </x:row>
    <x:row r="121" ht="14" customHeight="1">
      <x:c r="A121" s="1" t="s">
        <x:v>121</x:v>
      </x:c>
      <x:c r="B121" s="6" t="n">
        <x:f>'计算明细'!K121</x:f>
        <x:v>0</x:v>
      </x:c>
      <x:c r="C121" s="25" t="n">
        <x:f>B121*'计算明细'!B121</x:f>
        <x:v>0</x:v>
      </x:c>
    </x:row>
    <x:row r="122" ht="14" customHeight="1">
      <x:c r="A122" s="1" t="s">
        <x:v>122</x:v>
      </x:c>
      <x:c r="B122" s="6" t="n">
        <x:f>'计算明细'!K122</x:f>
        <x:v>2.246094840732019</x:v>
      </x:c>
      <x:c r="C122" s="25" t="n">
        <x:f>B122*'计算明细'!B122</x:f>
        <x:v>3.035147958281177</x:v>
      </x:c>
    </x:row>
    <x:row r="123" ht="14" customHeight="1">
      <x:c r="A123" s="1" t="s">
        <x:v>123</x:v>
      </x:c>
      <x:c r="B123" s="6" t="n">
        <x:f>'计算明细'!K123</x:f>
        <x:v>48.61748333333276</x:v>
      </x:c>
      <x:c r="C123" s="25" t="n">
        <x:f>B123*'计算明细'!B123</x:f>
        <x:v>65.1474276666659</x:v>
      </x:c>
    </x:row>
    <x:row r="124" ht="14" customHeight="1">
      <x:c r="A124" s="1" t="s">
        <x:v>124</x:v>
      </x:c>
      <x:c r="B124" s="6" t="n">
        <x:f>'计算明细'!K124</x:f>
        <x:v>215.22684999999947</x:v>
      </x:c>
      <x:c r="C124" s="25" t="n">
        <x:f>B124*'计算明细'!B124</x:f>
        <x:v>290.3194979649993</x:v>
      </x:c>
    </x:row>
    <x:row r="125" ht="14" customHeight="1">
      <x:c r="A125" s="1" t="s">
        <x:v>125</x:v>
      </x:c>
      <x:c r="B125" s="6" t="n">
        <x:f>'计算明细'!K125</x:f>
        <x:v>382.31969999999944</x:v>
      </x:c>
      <x:c r="C125" s="25" t="n">
        <x:f>B125*'计算明细'!B125</x:f>
        <x:v>533.4124454399993</x:v>
      </x:c>
    </x:row>
    <x:row r="126" ht="14" customHeight="1">
      <x:c r="A126" s="1" t="s">
        <x:v>126</x:v>
      </x:c>
      <x:c r="B126" s="6" t="n">
        <x:f>'计算明细'!K126</x:f>
        <x:v>549.2022499999994</x:v>
      </x:c>
      <x:c r="C126" s="25" t="n">
        <x:f>B126*'计算明细'!B126</x:f>
        <x:v>671.4546708499992</x:v>
      </x:c>
    </x:row>
    <x:row r="127" ht="14" customHeight="1">
      <x:c r="A127" s="1" t="s">
        <x:v>127</x:v>
      </x:c>
      <x:c r="B127" s="6" t="n">
        <x:f>'计算明细'!K127</x:f>
        <x:v>717.0051166666667</x:v>
      </x:c>
      <x:c r="C127" s="25" t="n">
        <x:f>B127*'计算明细'!B127</x:f>
        <x:v>669.1091748733334</x:v>
      </x:c>
    </x:row>
    <x:row r="128" ht="14" customHeight="1">
      <x:c r="A128" s="1" t="s">
        <x:v>128</x:v>
      </x:c>
      <x:c r="B128" s="6" t="n">
        <x:f>'计算明细'!K128</x:f>
        <x:v>720.1602999999996</x:v>
      </x:c>
      <x:c r="C128" s="25" t="n">
        <x:f>B128*'计算明细'!B128</x:f>
        <x:v>653.0413600399996</x:v>
      </x:c>
    </x:row>
    <x:row r="129" ht="14" customHeight="1">
      <x:c r="A129" s="1" t="s">
        <x:v>129</x:v>
      </x:c>
      <x:c r="B129" s="6" t="n">
        <x:f>'计算明细'!K129</x:f>
        <x:v>717.0548666666666</x:v>
      </x:c>
      <x:c r="C129" s="25" t="n">
        <x:f>B129*'计算明细'!B129</x:f>
        <x:v>671.9521155533333</x:v>
      </x:c>
    </x:row>
    <x:row r="130" ht="14" customHeight="1">
      <x:c r="A130" s="1" t="s">
        <x:v>130</x:v>
      </x:c>
      <x:c r="B130" s="6" t="n">
        <x:f>'计算明细'!K130</x:f>
        <x:v>720.4459666666663</x:v>
      </x:c>
      <x:c r="C130" s="25" t="n">
        <x:f>B130*'计算明细'!B130</x:f>
        <x:v>675.129915363333</x:v>
      </x:c>
    </x:row>
    <x:row r="131" ht="14" customHeight="1">
      <x:c r="A131" s="1" t="s">
        <x:v>131</x:v>
      </x:c>
      <x:c r="B131" s="6" t="n">
        <x:f>'计算明细'!K131</x:f>
        <x:v>738.1347166666661</x:v>
      </x:c>
      <x:c r="C131" s="25" t="n">
        <x:f>B131*'计算明细'!B131</x:f>
        <x:v>728.6127788216661</x:v>
      </x:c>
    </x:row>
    <x:row r="132" ht="14" customHeight="1">
      <x:c r="A132" s="1" t="s">
        <x:v>132</x:v>
      </x:c>
      <x:c r="B132" s="6" t="n">
        <x:f>'计算明细'!K132</x:f>
        <x:v>671.6935666666674</x:v>
      </x:c>
      <x:c r="C132" s="25" t="n">
        <x:f>B132*'计算明细'!B132</x:f>
        <x:v>521.5028851600006</x:v>
      </x:c>
    </x:row>
    <x:row r="133" ht="14" customHeight="1">
      <x:c r="A133" s="1" t="s">
        <x:v>133</x:v>
      </x:c>
      <x:c r="B133" s="6" t="n">
        <x:f>'计算明细'!K133</x:f>
        <x:v>727.1236500000007</x:v>
      </x:c>
      <x:c r="C133" s="25" t="n">
        <x:f>B133*'计算明细'!B133</x:f>
        <x:v>306.04634428500026</x:v>
      </x:c>
    </x:row>
    <x:row r="134" ht="14" customHeight="1">
      <x:c r="A134" s="1" t="s">
        <x:v>134</x:v>
      </x:c>
      <x:c r="B134" s="6" t="n">
        <x:f>'计算明细'!K134</x:f>
        <x:v>884.8989000000007</x:v>
      </x:c>
      <x:c r="C134" s="25" t="n">
        <x:f>B134*'计算明细'!B134</x:f>
        <x:v>341.4824855100003</x:v>
      </x:c>
    </x:row>
    <x:row r="135" ht="14" customHeight="1">
      <x:c r="A135" s="1" t="s">
        <x:v>135</x:v>
      </x:c>
      <x:c r="B135" s="6" t="n">
        <x:f>'计算明细'!K135</x:f>
        <x:v>902.1593833333341</x:v>
      </x:c>
      <x:c r="C135" s="25" t="n">
        <x:f>B135*'计算明细'!B135</x:f>
        <x:v>394.06321864000034</x:v>
      </x:c>
    </x:row>
    <x:row r="136" ht="14" customHeight="1">
      <x:c r="A136" s="1" t="s">
        <x:v>136</x:v>
      </x:c>
      <x:c r="B136" s="6" t="n">
        <x:f>'计算明细'!K136</x:f>
        <x:v>986.2863089602739</x:v>
      </x:c>
      <x:c r="C136" s="25" t="n">
        <x:f>B136*'计算明细'!B136</x:f>
        <x:v>414.042992501523</x:v>
      </x:c>
    </x:row>
    <x:row r="137" ht="14" customHeight="1">
      <x:c r="A137" s="1" t="s">
        <x:v>137</x:v>
      </x:c>
      <x:c r="B137" s="6" t="n">
        <x:f>'计算明细'!K137</x:f>
        <x:v>987.0576256269403</x:v>
      </x:c>
      <x:c r="C137" s="25" t="n">
        <x:f>B137*'计算明细'!B137</x:f>
        <x:v>413.1823220874372</x:v>
      </x:c>
    </x:row>
    <x:row r="138" ht="14" customHeight="1">
      <x:c r="A138" s="1" t="s">
        <x:v>138</x:v>
      </x:c>
      <x:c r="B138" s="6" t="n">
        <x:f>'计算明细'!K138</x:f>
        <x:v>989.3785256269405</x:v>
      </x:c>
      <x:c r="C138" s="25" t="n">
        <x:f>B138*'计算明细'!B138</x:f>
        <x:v>419.59543271838544</x:v>
      </x:c>
    </x:row>
    <x:row r="139" ht="14" customHeight="1">
      <x:c r="A139" s="1" t="s">
        <x:v>139</x:v>
      </x:c>
      <x:c r="B139" s="6" t="n">
        <x:f>'计算明细'!K139</x:f>
        <x:v>989.1715256269405</x:v>
      </x:c>
      <x:c r="C139" s="25" t="n">
        <x:f>B139*'计算明细'!B139</x:f>
        <x:v>419.1119754081347</x:v>
      </x:c>
    </x:row>
    <x:row r="140" ht="14" customHeight="1">
      <x:c r="A140" s="1" t="s">
        <x:v>140</x:v>
      </x:c>
      <x:c r="B140" s="6" t="n">
        <x:f>'计算明细'!K140</x:f>
        <x:v>990.4612422936071</x:v>
      </x:c>
      <x:c r="C140" s="25" t="n">
        <x:f>B140*'计算明细'!B140</x:f>
        <x:v>420.74793572632433</x:v>
      </x:c>
    </x:row>
    <x:row r="141" ht="14" customHeight="1">
      <x:c r="A141" s="1" t="s">
        <x:v>141</x:v>
      </x:c>
      <x:c r="B141" s="6" t="n">
        <x:f>'计算明细'!K141</x:f>
        <x:v>991.9897256269405</x:v>
      </x:c>
      <x:c r="C141" s="25" t="n">
        <x:f>B141*'计算明细'!B141</x:f>
        <x:v>420.60364366582274</x:v>
      </x:c>
    </x:row>
    <x:row r="142" ht="14" customHeight="1">
      <x:c r="A142" s="1" t="s">
        <x:v>142</x:v>
      </x:c>
      <x:c r="B142" s="6" t="n">
        <x:f>'计算明细'!K142</x:f>
        <x:v>992.9612756269404</x:v>
      </x:c>
      <x:c r="C142" s="25" t="n">
        <x:f>B142*'计算明细'!B142</x:f>
        <x:v>419.02965831456885</x:v>
      </x:c>
    </x:row>
    <x:row r="143" ht="14" customHeight="1">
      <x:c r="A143" s="1" t="s">
        <x:v>143</x:v>
      </x:c>
      <x:c r="B143" s="6" t="n">
        <x:f>'计算明细'!K143</x:f>
        <x:v>994.2464756269405</x:v>
      </x:c>
      <x:c r="C143" s="25" t="n">
        <x:f>B143*'计算明细'!B143</x:f>
        <x:v>421.5605056658228</x:v>
      </x:c>
    </x:row>
    <x:row r="144" ht="14" customHeight="1">
      <x:c r="A144" s="1" t="s">
        <x:v>144</x:v>
      </x:c>
      <x:c r="B144" s="6" t="n">
        <x:f>'计算明细'!K144</x:f>
        <x:v>995.8079256269405</x:v>
      </x:c>
      <x:c r="C144" s="25" t="n">
        <x:f>B144*'计算明细'!B144</x:f>
        <x:v>425.30956503526625</x:v>
      </x:c>
    </x:row>
    <x:row r="145" ht="14" customHeight="1">
      <x:c r="A145" s="1" t="s">
        <x:v>145</x:v>
      </x:c>
      <x:c r="B145" s="6" t="n">
        <x:f>'计算明细'!K145</x:f>
        <x:v>996.7520756269405</x:v>
      </x:c>
      <x:c r="C145" s="25" t="n">
        <x:f>B145*'计算明细'!B145</x:f>
        <x:v>426.21118753807974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18" defaultRowHeight="14"/>
  <x:cols>
    <x:col min="1" max="1" width="28" style="2" customWidth="1"/>
    <x:col min="2" max="3" width="18" customWidth="1"/>
    <x:col min="4" max="4" width="18" style="2" customWidth="1"/>
    <x:col min="5" max="5" width="18" customWidth="1"/>
    <x:col min="6" max="16384" width="18" style="2" customWidth="0"/>
  </x:cols>
  <x:sheetData>
    <x:row r="1" s="1" customFormat="1" ht="14" customHeight="1">
      <x:c r="A1" s="4" t="s">
        <x:v>0</x:v>
      </x:c>
      <x:c r="B1" s="4" t="s">
        <x:v>146</x:v>
      </x:c>
      <x:c r="C1" s="4" t="s">
        <x:v>147</x:v>
      </x:c>
      <x:c r="D1" s="4" t="s">
        <x:v>148</x:v>
      </x:c>
      <x:c r="E1" s="4" t="s">
        <x:v>149</x:v>
      </x:c>
    </x:row>
    <x:row r="2" s="1" customFormat="1" ht="14" customHeight="1">
      <x:c r="A2" s="1" t="s">
        <x:v>150</x:v>
      </x:c>
      <x:c r="B2" s="7" t="n">
        <x:f>SUM('计算明细'!F2:F25)*'修订说明'!$B$2</x:f>
        <x:v>5059.64425626941</x:v>
      </x:c>
      <x:c r="C2" s="7" t="n">
        <x:f>SUM('计算明细'!G2:G25)*'修订说明'!$B$2</x:f>
        <x:v>0</x:v>
      </x:c>
      <x:c r="D2" s="3" t="s">
        <x:v>151</x:v>
      </x:c>
      <x:c r="E2" s="7" t="n">
        <x:f>'计算明细'!I2</x:f>
        <x:v>6000</x:v>
      </x:c>
    </x:row>
    <x:row r="3" s="1" customFormat="1" ht="14" customHeight="1">
      <x:c r="A3" s="1" t="s">
        <x:v>152</x:v>
      </x:c>
      <x:c r="B3" s="7" t="n">
        <x:f>SUM('计算明细'!F26:F49)*'修订说明'!$B$2</x:f>
        <x:v>0</x:v>
      </x:c>
      <x:c r="C3" s="7" t="n">
        <x:f>SUM('计算明细'!G26:G49)*'修订说明'!$B$2</x:f>
        <x:v>7357.436146057962</x:v>
      </x:c>
      <x:c r="D3" s="3" t="s">
        <x:v>153</x:v>
      </x:c>
      <x:c r="E3" s="7" t="n">
        <x:f>'计算明细'!J145</x:f>
        <x:v>6000</x:v>
      </x:c>
    </x:row>
    <x:row r="4" s="1" customFormat="1" ht="14" customHeight="1">
      <x:c r="A4" s="1" t="s">
        <x:v>154</x:v>
      </x:c>
      <x:c r="B4" s="7" t="n">
        <x:f>SUM('计算明细'!F50:F73)*'修订说明'!$B$2</x:f>
        <x:v>5071.280471545855</x:v>
      </x:c>
      <x:c r="C4" s="7" t="n">
        <x:f>SUM('计算明细'!G50:G73)*'修订说明'!$B$2</x:f>
        <x:v>1702.9969833333364</x:v>
      </x:c>
    </x:row>
    <x:row r="5" s="1" customFormat="1" ht="14" customHeight="1">
      <x:c r="A5" s="1" t="s">
        <x:v>155</x:v>
      </x:c>
      <x:c r="B5" s="7" t="n">
        <x:f>SUM('计算明细'!F74:F97)*'修订说明'!$B$2</x:f>
        <x:v>4995.867449999851</x:v>
      </x:c>
      <x:c r="C5" s="7" t="n">
        <x:f>SUM('计算明细'!G74:G97)*'修订说明'!$B$2</x:f>
        <x:v>0</x:v>
      </x:c>
    </x:row>
    <x:row r="6" s="1" customFormat="1" ht="14" customHeight="1">
      <x:c r="A6" s="1" t="s">
        <x:v>156</x:v>
      </x:c>
      <x:c r="B6" s="7" t="n">
        <x:f>SUM('计算明细'!F98:F121)*'修订说明'!$B$2</x:f>
        <x:v>0</x:v>
      </x:c>
      <x:c r="C6" s="7" t="n">
        <x:f>SUM('计算明细'!G98:G121)*'修订说明'!$B$2</x:f>
        <x:v>6729.235006125689</x:v>
      </x:c>
    </x:row>
    <x:row r="7" s="1" customFormat="1" ht="14" customHeight="1">
      <x:c r="A7" s="1" t="s">
        <x:v>157</x:v>
      </x:c>
      <x:c r="B7" s="7" t="n">
        <x:f>SUM('计算明细'!F122:F145)*'修订说明'!$B$2</x:f>
        <x:v>5059.644256269409</x:v>
      </x:c>
      <x:c r="C7" s="7" t="n">
        <x:f>SUM('计算明细'!G122:G145)*'修订说明'!$B$2</x:f>
        <x:v>2378.124655159226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4.5"/>
  <x:cols>
    <x:col min="1" max="1" width="28" customWidth="1"/>
    <x:col min="2" max="12" width="18" customWidth="1"/>
  </x:cols>
  <x:sheetData>
    <x:row r="1" ht="15">
      <x:c r="A1" s="8" t="s">
        <x:v>0</x:v>
      </x:c>
      <x:c r="B1" s="8" t="s">
        <x:v>158</x:v>
      </x:c>
      <x:c r="C1" s="8" t="s">
        <x:v>159</x:v>
      </x:c>
      <x:c r="D1" s="8" t="s">
        <x:v>160</x:v>
      </x:c>
      <x:c r="E1" s="8" t="s">
        <x:v>161</x:v>
      </x:c>
      <x:c r="F1" s="8" t="s">
        <x:v>162</x:v>
      </x:c>
      <x:c r="G1" s="8" t="s">
        <x:v>163</x:v>
      </x:c>
      <x:c r="H1" s="8" t="s">
        <x:v>164</x:v>
      </x:c>
      <x:c r="I1" s="8" t="s">
        <x:v>165</x:v>
      </x:c>
      <x:c r="J1" s="8" t="s">
        <x:v>166</x:v>
      </x:c>
      <x:c r="K1" s="8" t="s">
        <x:v>167</x:v>
      </x:c>
      <x:c r="L1" s="8" t="s">
        <x:v>168</x:v>
      </x:c>
    </x:row>
    <x:row r="2">
      <x:c r="A2" t="s">
        <x:v>2</x:v>
      </x:c>
      <x:c r="B2" s="7" t="n">
        <x:v>0.4248</x:v>
      </x:c>
      <x:c r="C2" s="7" t="n">
        <x:v>3439.8466</x:v>
      </x:c>
      <x:c r="D2" s="7" t="n">
        <x:v>0</x:v>
      </x:c>
      <x:c r="E2" s="7" t="n">
        <x:v>5975.6331537616425</x:v>
      </x:c>
      <x:c r="F2" s="7" t="n">
        <x:v>2535.7865537616426</x:v>
      </x:c>
      <x:c r="G2" s="7" t="n">
        <x:v>0</x:v>
      </x:c>
      <x:c r="H2" s="7" t="n">
        <x:v>0</x:v>
      </x:c>
      <x:c r="I2" s="7" t="n">
        <x:v>6000</x:v>
      </x:c>
      <x:c r="J2" s="7" t="n">
        <x:v>6400.94305849579</x:v>
      </x:c>
      <x:c r="K2" s="7" t="n">
        <x:f t="shared" ref="K2:K33" si="0">E2*'修订说明'!$B$2</x:f>
        <x:v>995.9388589602737</x:v>
      </x:c>
      <x:c r="L2" s="7" t="n">
        <x:f t="shared" ref="L2:L33" si="1">B2*K2</x:f>
        <x:v>423.0748272863243</x:v>
      </x:c>
    </x:row>
    <x:row r="3">
      <x:c r="A3" t="s">
        <x:v>3</x:v>
      </x:c>
      <x:c r="B3" s="7" t="n">
        <x:v>0.4245</x:v>
      </x:c>
      <x:c r="C3" s="7" t="n">
        <x:v>3437.9792</x:v>
      </x:c>
      <x:c r="D3" s="7" t="n">
        <x:v>0</x:v>
      </x:c>
      <x:c r="E3" s="7" t="n">
        <x:v>5973.765753761644</x:v>
      </x:c>
      <x:c r="F3" s="7" t="n">
        <x:v>2535.7865537616613</x:v>
      </x:c>
      <x:c r="G3" s="7" t="n">
        <x:v>0</x:v>
      </x:c>
      <x:c r="H3" s="7" t="n">
        <x:v>0</x:v>
      </x:c>
      <x:c r="I3" s="7" t="n">
        <x:v>6400.94305849579</x:v>
      </x:c>
      <x:c r="J3" s="7" t="n">
        <x:v>6801.886116991581</x:v>
      </x:c>
      <x:c r="K3" s="7" t="n">
        <x:f t="shared" si="0">E3*'修订说明'!$B$2</x:f>
        <x:v>995.6276256269407</x:v>
      </x:c>
      <x:c r="L3" s="7" t="n">
        <x:f t="shared" si="1">B3*K3</x:f>
        <x:v>422.6439270786363</x:v>
      </x:c>
    </x:row>
    <x:row r="4">
      <x:c r="A4" t="s">
        <x:v>4</x:v>
      </x:c>
      <x:c r="B4" s="7" t="n">
        <x:v>0.4269</x:v>
      </x:c>
      <x:c r="C4" s="7" t="n">
        <x:v>3444.3031</x:v>
      </x:c>
      <x:c r="D4" s="7" t="n">
        <x:v>0</x:v>
      </x:c>
      <x:c r="E4" s="7" t="n">
        <x:v>5980.089653761644</x:v>
      </x:c>
      <x:c r="F4" s="7" t="n">
        <x:v>2535.786553761625</x:v>
      </x:c>
      <x:c r="G4" s="7" t="n">
        <x:v>0</x:v>
      </x:c>
      <x:c r="H4" s="7" t="n">
        <x:v>0</x:v>
      </x:c>
      <x:c r="I4" s="7" t="n">
        <x:v>6801.886116991581</x:v>
      </x:c>
      <x:c r="J4" s="7" t="n">
        <x:v>7202.829175487371</x:v>
      </x:c>
      <x:c r="K4" s="7" t="n">
        <x:f t="shared" si="0">E4*'修订说明'!$B$2</x:f>
        <x:v>996.6816089602739</x:v>
      </x:c>
      <x:c r="L4" s="7" t="n">
        <x:f t="shared" si="1">B4*K4</x:f>
        <x:v>425.48337886514093</x:v>
      </x:c>
    </x:row>
    <x:row r="5">
      <x:c r="A5" t="s">
        <x:v>5</x:v>
      </x:c>
      <x:c r="B5" s="7" t="n">
        <x:v>0.4272</x:v>
      </x:c>
      <x:c r="C5" s="7" t="n">
        <x:v>3454.4437</x:v>
      </x:c>
      <x:c r="D5" s="7" t="n">
        <x:v>0</x:v>
      </x:c>
      <x:c r="E5" s="7" t="n">
        <x:v>5990.230253761643</x:v>
      </x:c>
      <x:c r="F5" s="7" t="n">
        <x:v>2535.786553761625</x:v>
      </x:c>
      <x:c r="G5" s="7" t="n">
        <x:v>0</x:v>
      </x:c>
      <x:c r="H5" s="7" t="n">
        <x:v>0</x:v>
      </x:c>
      <x:c r="I5" s="7" t="n">
        <x:v>7202.829175487371</x:v>
      </x:c>
      <x:c r="J5" s="7" t="n">
        <x:v>7603.772233983162</x:v>
      </x:c>
      <x:c r="K5" s="7" t="n">
        <x:f t="shared" si="0">E5*'修订说明'!$B$2</x:f>
        <x:v>998.3717089602738</x:v>
      </x:c>
      <x:c r="L5" s="7" t="n">
        <x:f t="shared" si="1">B5*K5</x:f>
        <x:v>426.504394067829</x:v>
      </x:c>
    </x:row>
    <x:row r="6">
      <x:c r="A6" t="s">
        <x:v>6</x:v>
      </x:c>
      <x:c r="B6" s="7" t="n">
        <x:v>0.4271</x:v>
      </x:c>
      <x:c r="C6" s="7" t="n">
        <x:v>3458.8273</x:v>
      </x:c>
      <x:c r="D6" s="7" t="n">
        <x:v>0</x:v>
      </x:c>
      <x:c r="E6" s="7" t="n">
        <x:v>5994.613853761643</x:v>
      </x:c>
      <x:c r="F6" s="7" t="n">
        <x:v>2535.7865537616976</x:v>
      </x:c>
      <x:c r="G6" s="7" t="n">
        <x:v>0</x:v>
      </x:c>
      <x:c r="H6" s="7" t="n">
        <x:v>0</x:v>
      </x:c>
      <x:c r="I6" s="7" t="n">
        <x:v>7603.772233983162</x:v>
      </x:c>
      <x:c r="J6" s="7" t="n">
        <x:v>8004.715292478952</x:v>
      </x:c>
      <x:c r="K6" s="7" t="n">
        <x:f t="shared" si="0">E6*'修订说明'!$B$2</x:f>
        <x:v>999.1023089602738</x:v>
      </x:c>
      <x:c r="L6" s="7" t="n">
        <x:f t="shared" si="1">B6*K6</x:f>
        <x:v>426.71659615693295</x:v>
      </x:c>
    </x:row>
    <x:row r="7">
      <x:c r="A7" t="s">
        <x:v>7</x:v>
      </x:c>
      <x:c r="B7" s="7" t="n">
        <x:v>0.4285</x:v>
      </x:c>
      <x:c r="C7" s="7" t="n">
        <x:v>3459.8401</x:v>
      </x:c>
      <x:c r="D7" s="7" t="n">
        <x:v>0</x:v>
      </x:c>
      <x:c r="E7" s="7" t="n">
        <x:v>5995.626653761643</x:v>
      </x:c>
      <x:c r="F7" s="7" t="n">
        <x:v>2535.7865537616203</x:v>
      </x:c>
      <x:c r="G7" s="7" t="n">
        <x:v>0</x:v>
      </x:c>
      <x:c r="H7" s="7" t="n">
        <x:v>0</x:v>
      </x:c>
      <x:c r="I7" s="7" t="n">
        <x:v>8004.715292478952</x:v>
      </x:c>
      <x:c r="J7" s="7" t="n">
        <x:v>8405.658350974742</x:v>
      </x:c>
      <x:c r="K7" s="7" t="n">
        <x:f t="shared" si="0">E7*'修订说明'!$B$2</x:f>
        <x:v>999.2711089602738</x:v>
      </x:c>
      <x:c r="L7" s="7" t="n">
        <x:f t="shared" si="1">B7*K7</x:f>
        <x:v>428.1876701894773</x:v>
      </x:c>
    </x:row>
    <x:row r="8">
      <x:c r="A8" t="s">
        <x:v>8</x:v>
      </x:c>
      <x:c r="B8" s="7" t="n">
        <x:v>0.4311</x:v>
      </x:c>
      <x:c r="C8" s="7" t="n">
        <x:v>3467.1582</x:v>
      </x:c>
      <x:c r="D8" s="7" t="n">
        <x:v>0</x:v>
      </x:c>
      <x:c r="E8" s="7" t="n">
        <x:v>6002.944753761644</x:v>
      </x:c>
      <x:c r="F8" s="7" t="n">
        <x:v>2535.786553761561</x:v>
      </x:c>
      <x:c r="G8" s="7" t="n">
        <x:v>0</x:v>
      </x:c>
      <x:c r="H8" s="7" t="n">
        <x:v>0</x:v>
      </x:c>
      <x:c r="I8" s="7" t="n">
        <x:v>8405.658350974742</x:v>
      </x:c>
      <x:c r="J8" s="7" t="n">
        <x:v>8806.601409470533</x:v>
      </x:c>
      <x:c r="K8" s="7" t="n">
        <x:f t="shared" si="0">E8*'修订说明'!$B$2</x:f>
        <x:v>1000.4907922936073</x:v>
      </x:c>
      <x:c r="L8" s="7" t="n">
        <x:f t="shared" si="1">B8*K8</x:f>
        <x:v>431.3115805577741</x:v>
      </x:c>
    </x:row>
    <x:row r="9">
      <x:c r="A9" t="s">
        <x:v>9</x:v>
      </x:c>
      <x:c r="B9" s="7" t="n">
        <x:v>0.4302</x:v>
      </x:c>
      <x:c r="C9" s="7" t="n">
        <x:v>3467.9632</x:v>
      </x:c>
      <x:c r="D9" s="7" t="n">
        <x:v>0</x:v>
      </x:c>
      <x:c r="E9" s="7" t="n">
        <x:v>6003.749753761644</x:v>
      </x:c>
      <x:c r="F9" s="7" t="n">
        <x:v>2535.7865537616976</x:v>
      </x:c>
      <x:c r="G9" s="7" t="n">
        <x:v>0</x:v>
      </x:c>
      <x:c r="H9" s="7" t="n">
        <x:v>0</x:v>
      </x:c>
      <x:c r="I9" s="7" t="n">
        <x:v>8806.601409470533</x:v>
      </x:c>
      <x:c r="J9" s="7" t="n">
        <x:v>9207.544467966323</x:v>
      </x:c>
      <x:c r="K9" s="7" t="n">
        <x:f t="shared" si="0">E9*'修订说明'!$B$2</x:f>
        <x:v>1000.624958960274</x:v>
      </x:c>
      <x:c r="L9" s="7" t="n">
        <x:f t="shared" si="1">B9*K9</x:f>
        <x:v>430.4688573447099</x:v>
      </x:c>
    </x:row>
    <x:row r="10">
      <x:c r="A10" t="s">
        <x:v>10</x:v>
      </x:c>
      <x:c r="B10" s="7" t="n">
        <x:v>0.4279</x:v>
      </x:c>
      <x:c r="C10" s="7" t="n">
        <x:v>3466.9683</x:v>
      </x:c>
      <x:c r="D10" s="7" t="n">
        <x:v>0</x:v>
      </x:c>
      <x:c r="E10" s="7" t="n">
        <x:v>6002.754853761646</x:v>
      </x:c>
      <x:c r="F10" s="7" t="n">
        <x:v>2535.7865537616476</x:v>
      </x:c>
      <x:c r="G10" s="7" t="n">
        <x:v>0</x:v>
      </x:c>
      <x:c r="H10" s="7" t="n">
        <x:v>0</x:v>
      </x:c>
      <x:c r="I10" s="7" t="n">
        <x:v>9207.544467966323</x:v>
      </x:c>
      <x:c r="J10" s="7" t="n">
        <x:v>9608.487526462113</x:v>
      </x:c>
      <x:c r="K10" s="7" t="n">
        <x:f t="shared" si="0">E10*'修订说明'!$B$2</x:f>
        <x:v>1000.4591422936076</x:v>
      </x:c>
      <x:c r="L10" s="7" t="n">
        <x:f t="shared" si="1">B10*K10</x:f>
        <x:v>428.09646698743467</x:v>
      </x:c>
    </x:row>
    <x:row r="11">
      <x:c r="A11" t="s">
        <x:v>11</x:v>
      </x:c>
      <x:c r="B11" s="7" t="n">
        <x:v>0.4312</x:v>
      </x:c>
      <x:c r="C11" s="7" t="n">
        <x:v>3482.4927</x:v>
      </x:c>
      <x:c r="D11" s="7" t="n">
        <x:v>0</x:v>
      </x:c>
      <x:c r="E11" s="7" t="n">
        <x:v>5989.650010752329</x:v>
      </x:c>
      <x:c r="F11" s="7" t="n">
        <x:v>2507.1573107522977</x:v>
      </x:c>
      <x:c r="G11" s="7" t="n">
        <x:v>0</x:v>
      </x:c>
      <x:c r="H11" s="7" t="n">
        <x:v>0</x:v>
      </x:c>
      <x:c r="I11" s="7" t="n">
        <x:v>9608.487526462113</x:v>
      </x:c>
      <x:c r="J11" s="7" t="n">
        <x:v>10004.90390417811</x:v>
      </x:c>
      <x:c r="K11" s="7" t="n">
        <x:f t="shared" si="0">E11*'修订说明'!$B$2</x:f>
        <x:v>998.2750017920548</x:v>
      </x:c>
      <x:c r="L11" s="7" t="n">
        <x:f t="shared" si="1">B11*K11</x:f>
        <x:v>430.45618077273406</x:v>
      </x:c>
    </x:row>
    <x:row r="12">
      <x:c r="A12" t="s">
        <x:v>12</x:v>
      </x:c>
      <x:c r="B12" s="7" t="n">
        <x:v>0.4333</x:v>
      </x:c>
      <x:c r="C12" s="7" t="n">
        <x:v>3495.0841</x:v>
      </x:c>
      <x:c r="D12" s="7" t="n">
        <x:v>0</x:v>
      </x:c>
      <x:c r="E12" s="7" t="n">
        <x:v>5002.241410752329</x:v>
      </x:c>
      <x:c r="F12" s="7" t="n">
        <x:v>1507.1573107523714</x:v>
      </x:c>
      <x:c r="G12" s="7" t="n">
        <x:v>0</x:v>
      </x:c>
      <x:c r="H12" s="7" t="n">
        <x:v>0</x:v>
      </x:c>
      <x:c r="I12" s="7" t="n">
        <x:v>10004.90390417811</x:v>
      </x:c>
      <x:c r="J12" s="7" t="n">
        <x:v>10243.206398885686</x:v>
      </x:c>
      <x:c r="K12" s="7" t="n">
        <x:f t="shared" si="0">E12*'修订说明'!$B$2</x:f>
        <x:v>833.7069017920549</x:v>
      </x:c>
      <x:c r="L12" s="7" t="n">
        <x:f t="shared" si="1">B12*K12</x:f>
        <x:v>361.24520054649736</x:v>
      </x:c>
    </x:row>
    <x:row r="13">
      <x:c r="A13" t="s">
        <x:v>13</x:v>
      </x:c>
      <x:c r="B13" s="7" t="n">
        <x:v>0.4311</x:v>
      </x:c>
      <x:c r="C13" s="7" t="n">
        <x:v>3498.4443</x:v>
      </x:c>
      <x:c r="D13" s="7" t="n">
        <x:v>0</x:v>
      </x:c>
      <x:c r="E13" s="7" t="n">
        <x:v>5005.601610752328</x:v>
      </x:c>
      <x:c r="F13" s="7" t="n">
        <x:v>1507.1573107523623</x:v>
      </x:c>
      <x:c r="G13" s="7" t="n">
        <x:v>0</x:v>
      </x:c>
      <x:c r="H13" s="7" t="n">
        <x:v>0</x:v>
      </x:c>
      <x:c r="I13" s="7" t="n">
        <x:v>10243.206398885686</x:v>
      </x:c>
      <x:c r="J13" s="7" t="n">
        <x:v>10481.508893593264</x:v>
      </x:c>
      <x:c r="K13" s="7" t="n">
        <x:f t="shared" si="0">E13*'修订说明'!$B$2</x:f>
        <x:v>834.266935125388</x:v>
      </x:c>
      <x:c r="L13" s="7" t="n">
        <x:f t="shared" si="1">B13*K13</x:f>
        <x:v>359.65247573255476</x:v>
      </x:c>
    </x:row>
    <x:row r="14">
      <x:c r="A14" t="s">
        <x:v>14</x:v>
      </x:c>
      <x:c r="B14" s="7" t="n">
        <x:v>0.4293</x:v>
      </x:c>
      <x:c r="C14" s="7" t="n">
        <x:v>3505.2295</x:v>
      </x:c>
      <x:c r="D14" s="7" t="n">
        <x:v>0</x:v>
      </x:c>
      <x:c r="E14" s="7" t="n">
        <x:v>5012.3868107523285</x:v>
      </x:c>
      <x:c r="F14" s="7" t="n">
        <x:v>1507.157310752294</x:v>
      </x:c>
      <x:c r="G14" s="7" t="n">
        <x:v>0</x:v>
      </x:c>
      <x:c r="H14" s="7" t="n">
        <x:v>0</x:v>
      </x:c>
      <x:c r="I14" s="7" t="n">
        <x:v>10481.508893593264</x:v>
      </x:c>
      <x:c r="J14" s="7" t="n">
        <x:v>10719.811388300841</x:v>
      </x:c>
      <x:c r="K14" s="7" t="n">
        <x:f t="shared" si="0">E14*'修订说明'!$B$2</x:f>
        <x:v>835.3978017920547</x:v>
      </x:c>
      <x:c r="L14" s="7" t="n">
        <x:f t="shared" si="1">B14*K14</x:f>
        <x:v>358.6362763093291</x:v>
      </x:c>
    </x:row>
    <x:row r="15">
      <x:c r="A15" t="s">
        <x:v>15</x:v>
      </x:c>
      <x:c r="B15" s="7" t="n">
        <x:v>0.4324</x:v>
      </x:c>
      <x:c r="C15" s="7" t="n">
        <x:v>3512.6387</x:v>
      </x:c>
      <x:c r="D15" s="7" t="n">
        <x:v>0</x:v>
      </x:c>
      <x:c r="E15" s="7" t="n">
        <x:v>4019.796010752328</x:v>
      </x:c>
      <x:c r="F15" s="7" t="n">
        <x:v>507.1573107523632</x:v>
      </x:c>
      <x:c r="G15" s="7" t="n">
        <x:v>0</x:v>
      </x:c>
      <x:c r="H15" s="7" t="n">
        <x:v>0</x:v>
      </x:c>
      <x:c r="I15" s="7" t="n">
        <x:v>10719.811388300841</x:v>
      </x:c>
      <x:c r="J15" s="7" t="n">
        <x:v>10799.999999999998</x:v>
      </x:c>
      <x:c r="K15" s="7" t="n">
        <x:f t="shared" si="0">E15*'修订说明'!$B$2</x:f>
        <x:v>669.9660017920546</x:v>
      </x:c>
      <x:c r="L15" s="7" t="n">
        <x:f t="shared" si="1">B15*K15</x:f>
        <x:v>289.69329917488443</x:v>
      </x:c>
    </x:row>
    <x:row r="16">
      <x:c r="A16" t="s">
        <x:v>16</x:v>
      </x:c>
      <x:c r="B16" s="7" t="n">
        <x:v>0.4367</x:v>
      </x:c>
      <x:c r="C16" s="7" t="n">
        <x:v>3516.8685</x:v>
      </x:c>
      <x:c r="D16" s="7" t="n">
        <x:v>0</x:v>
      </x:c>
      <x:c r="E16" s="7" t="n">
        <x:v>3516.8684999999846</x:v>
      </x:c>
      <x:c r="F16" s="7" t="n">
        <x:v>0</x:v>
      </x:c>
      <x:c r="G16" s="7" t="n">
        <x:v>0</x:v>
      </x:c>
      <x:c r="H16" s="7" t="n">
        <x:v>0</x:v>
      </x:c>
      <x:c r="I16" s="7" t="n">
        <x:v>10799.999999999998</x:v>
      </x:c>
      <x:c r="J16" s="7" t="n">
        <x:v>10800</x:v>
      </x:c>
      <x:c r="K16" s="7" t="n">
        <x:f t="shared" si="0">E16*'修订说明'!$B$2</x:f>
        <x:v>586.1447499999974</x:v>
      </x:c>
      <x:c r="L16" s="7" t="n">
        <x:f t="shared" si="1">B16*K16</x:f>
        <x:v>255.96941232499887</x:v>
      </x:c>
    </x:row>
    <x:row r="17">
      <x:c r="A17" t="s">
        <x:v>17</x:v>
      </x:c>
      <x:c r="B17" s="7" t="n">
        <x:v>0.4348</x:v>
      </x:c>
      <x:c r="C17" s="7" t="n">
        <x:v>3517.9246</x:v>
      </x:c>
      <x:c r="D17" s="7" t="n">
        <x:v>0</x:v>
      </x:c>
      <x:c r="E17" s="7" t="n">
        <x:v>3517.9246000000035</x:v>
      </x:c>
      <x:c r="F17" s="7" t="n">
        <x:v>0</x:v>
      </x:c>
      <x:c r="G17" s="7" t="n">
        <x:v>0</x:v>
      </x:c>
      <x:c r="H17" s="7" t="n">
        <x:v>0</x:v>
      </x:c>
      <x:c r="I17" s="7" t="n">
        <x:v>10800</x:v>
      </x:c>
      <x:c r="J17" s="7" t="n">
        <x:v>10800</x:v>
      </x:c>
      <x:c r="K17" s="7" t="n">
        <x:f t="shared" si="0">E17*'修订说明'!$B$2</x:f>
        <x:v>586.3207666666672</x:v>
      </x:c>
      <x:c r="L17" s="7" t="n">
        <x:f t="shared" si="1">B17*K17</x:f>
        <x:v>254.93226934666689</x:v>
      </x:c>
    </x:row>
    <x:row r="18">
      <x:c r="A18" t="s">
        <x:v>18</x:v>
      </x:c>
      <x:c r="B18" s="7" t="n">
        <x:v>0.4335</x:v>
      </x:c>
      <x:c r="C18" s="7" t="n">
        <x:v>3518.5518</x:v>
      </x:c>
      <x:c r="D18" s="7" t="n">
        <x:v>0</x:v>
      </x:c>
      <x:c r="E18" s="7" t="n">
        <x:v>3518.5517999999997</x:v>
      </x:c>
      <x:c r="F18" s="7" t="n">
        <x:v>0</x:v>
      </x:c>
      <x:c r="G18" s="7" t="n">
        <x:v>0</x:v>
      </x:c>
      <x:c r="H18" s="7" t="n">
        <x:v>0</x:v>
      </x:c>
      <x:c r="I18" s="7" t="n">
        <x:v>10800</x:v>
      </x:c>
      <x:c r="J18" s="7" t="n">
        <x:v>10800</x:v>
      </x:c>
      <x:c r="K18" s="7" t="n">
        <x:f t="shared" si="0">E18*'修订说明'!$B$2</x:f>
        <x:v>586.4252999999999</x:v>
      </x:c>
      <x:c r="L18" s="7" t="n">
        <x:f t="shared" si="1">B18*K18</x:f>
        <x:v>254.21536754999994</x:v>
      </x:c>
    </x:row>
    <x:row r="19">
      <x:c r="A19" t="s">
        <x:v>19</x:v>
      </x:c>
      <x:c r="B19" s="7" t="n">
        <x:v>0.4357</x:v>
      </x:c>
      <x:c r="C19" s="7" t="n">
        <x:v>3521.0976</x:v>
      </x:c>
      <x:c r="D19" s="7" t="n">
        <x:v>0</x:v>
      </x:c>
      <x:c r="E19" s="7" t="n">
        <x:v>3521.0976000000037</x:v>
      </x:c>
      <x:c r="F19" s="7" t="n">
        <x:v>0</x:v>
      </x:c>
      <x:c r="G19" s="7" t="n">
        <x:v>0</x:v>
      </x:c>
      <x:c r="H19" s="7" t="n">
        <x:v>0</x:v>
      </x:c>
      <x:c r="I19" s="7" t="n">
        <x:v>10800</x:v>
      </x:c>
      <x:c r="J19" s="7" t="n">
        <x:v>10800</x:v>
      </x:c>
      <x:c r="K19" s="7" t="n">
        <x:f t="shared" si="0">E19*'修订说明'!$B$2</x:f>
        <x:v>586.8496000000006</x:v>
      </x:c>
      <x:c r="L19" s="7" t="n">
        <x:f t="shared" si="1">B19*K19</x:f>
        <x:v>255.69037072000023</x:v>
      </x:c>
    </x:row>
    <x:row r="20">
      <x:c r="A20" t="s">
        <x:v>20</x:v>
      </x:c>
      <x:c r="B20" s="7" t="n">
        <x:v>0.4374</x:v>
      </x:c>
      <x:c r="C20" s="7" t="n">
        <x:v>3526.9261</x:v>
      </x:c>
      <x:c r="D20" s="7" t="n">
        <x:v>0</x:v>
      </x:c>
      <x:c r="E20" s="7" t="n">
        <x:v>3526.9261000000033</x:v>
      </x:c>
      <x:c r="F20" s="7" t="n">
        <x:v>0</x:v>
      </x:c>
      <x:c r="G20" s="7" t="n">
        <x:v>0</x:v>
      </x:c>
      <x:c r="H20" s="7" t="n">
        <x:v>0</x:v>
      </x:c>
      <x:c r="I20" s="7" t="n">
        <x:v>10800</x:v>
      </x:c>
      <x:c r="J20" s="7" t="n">
        <x:v>10800</x:v>
      </x:c>
      <x:c r="K20" s="7" t="n">
        <x:f t="shared" si="0">E20*'修订说明'!$B$2</x:f>
        <x:v>587.8210166666672</x:v>
      </x:c>
      <x:c r="L20" s="7" t="n">
        <x:f t="shared" si="1">B20*K20</x:f>
        <x:v>257.11291269000026</x:v>
      </x:c>
    </x:row>
    <x:row r="21">
      <x:c r="A21" t="s">
        <x:v>21</x:v>
      </x:c>
      <x:c r="B21" s="7" t="n">
        <x:v>0.4371</x:v>
      </x:c>
      <x:c r="C21" s="7" t="n">
        <x:v>3537.2854</x:v>
      </x:c>
      <x:c r="D21" s="7" t="n">
        <x:v>0</x:v>
      </x:c>
      <x:c r="E21" s="7" t="n">
        <x:v>3537.2854000000034</x:v>
      </x:c>
      <x:c r="F21" s="7" t="n">
        <x:v>0</x:v>
      </x:c>
      <x:c r="G21" s="7" t="n">
        <x:v>0</x:v>
      </x:c>
      <x:c r="H21" s="7" t="n">
        <x:v>0</x:v>
      </x:c>
      <x:c r="I21" s="7" t="n">
        <x:v>10800</x:v>
      </x:c>
      <x:c r="J21" s="7" t="n">
        <x:v>10800</x:v>
      </x:c>
      <x:c r="K21" s="7" t="n">
        <x:f t="shared" si="0">E21*'修订说明'!$B$2</x:f>
        <x:v>589.5475666666672</x:v>
      </x:c>
      <x:c r="L21" s="7" t="n">
        <x:f t="shared" si="1">B21*K21</x:f>
        <x:v>257.69124139000024</x:v>
      </x:c>
    </x:row>
    <x:row r="22">
      <x:c r="A22" t="s">
        <x:v>22</x:v>
      </x:c>
      <x:c r="B22" s="7" t="n">
        <x:v>0.4356</x:v>
      </x:c>
      <x:c r="C22" s="7" t="n">
        <x:v>3544.8808</x:v>
      </x:c>
      <x:c r="D22" s="7" t="n">
        <x:v>0</x:v>
      </x:c>
      <x:c r="E22" s="7" t="n">
        <x:v>3544.880799999999</x:v>
      </x:c>
      <x:c r="F22" s="7" t="n">
        <x:v>0</x:v>
      </x:c>
      <x:c r="G22" s="7" t="n">
        <x:v>0</x:v>
      </x:c>
      <x:c r="H22" s="7" t="n">
        <x:v>0</x:v>
      </x:c>
      <x:c r="I22" s="7" t="n">
        <x:v>10800</x:v>
      </x:c>
      <x:c r="J22" s="7" t="n">
        <x:v>10800</x:v>
      </x:c>
      <x:c r="K22" s="7" t="n">
        <x:f t="shared" si="0">E22*'修订说明'!$B$2</x:f>
        <x:v>590.8134666666665</x:v>
      </x:c>
      <x:c r="L22" s="7" t="n">
        <x:f t="shared" si="1">B22*K22</x:f>
        <x:v>257.35834607999993</x:v>
      </x:c>
    </x:row>
    <x:row r="23">
      <x:c r="A23" t="s">
        <x:v>23</x:v>
      </x:c>
      <x:c r="B23" s="7" t="n">
        <x:v>0.4353</x:v>
      </x:c>
      <x:c r="C23" s="7" t="n">
        <x:v>3541.2787</x:v>
      </x:c>
      <x:c r="D23" s="7" t="n">
        <x:v>0</x:v>
      </x:c>
      <x:c r="E23" s="7" t="n">
        <x:v>3541.2787</x:v>
      </x:c>
      <x:c r="F23" s="7" t="n">
        <x:v>0</x:v>
      </x:c>
      <x:c r="G23" s="7" t="n">
        <x:v>0</x:v>
      </x:c>
      <x:c r="H23" s="7" t="n">
        <x:v>0</x:v>
      </x:c>
      <x:c r="I23" s="7" t="n">
        <x:v>10800</x:v>
      </x:c>
      <x:c r="J23" s="7" t="n">
        <x:v>10800</x:v>
      </x:c>
      <x:c r="K23" s="7" t="n">
        <x:f t="shared" si="0">E23*'修订说明'!$B$2</x:f>
        <x:v>590.2131166666666</x:v>
      </x:c>
      <x:c r="L23" s="7" t="n">
        <x:f t="shared" si="1">B23*K23</x:f>
        <x:v>256.91976968499995</x:v>
      </x:c>
    </x:row>
    <x:row r="24">
      <x:c r="A24" t="s">
        <x:v>24</x:v>
      </x:c>
      <x:c r="B24" s="7" t="n">
        <x:v>0.436</x:v>
      </x:c>
      <x:c r="C24" s="7" t="n">
        <x:v>3546.3976</x:v>
      </x:c>
      <x:c r="D24" s="7" t="n">
        <x:v>0</x:v>
      </x:c>
      <x:c r="E24" s="7" t="n">
        <x:v>3546.3976000000002</x:v>
      </x:c>
      <x:c r="F24" s="7" t="n">
        <x:v>0</x:v>
      </x:c>
      <x:c r="G24" s="7" t="n">
        <x:v>0</x:v>
      </x:c>
      <x:c r="H24" s="7" t="n">
        <x:v>0</x:v>
      </x:c>
      <x:c r="I24" s="7" t="n">
        <x:v>10800</x:v>
      </x:c>
      <x:c r="J24" s="7" t="n">
        <x:v>10800</x:v>
      </x:c>
      <x:c r="K24" s="7" t="n">
        <x:f t="shared" si="0">E24*'修订说明'!$B$2</x:f>
        <x:v>591.0662666666667</x:v>
      </x:c>
      <x:c r="L24" s="7" t="n">
        <x:f t="shared" si="1">B24*K24</x:f>
        <x:v>257.70489226666666</x:v>
      </x:c>
    </x:row>
    <x:row r="25">
      <x:c r="A25" t="s">
        <x:v>25</x:v>
      </x:c>
      <x:c r="B25" s="7" t="n">
        <x:v>0.4378</x:v>
      </x:c>
      <x:c r="C25" s="7" t="n">
        <x:v>3560.207</x:v>
      </x:c>
      <x:c r="D25" s="7" t="n">
        <x:v>0</x:v>
      </x:c>
      <x:c r="E25" s="7" t="n">
        <x:v>3560.207</x:v>
      </x:c>
      <x:c r="F25" s="7" t="n">
        <x:v>0</x:v>
      </x:c>
      <x:c r="G25" s="7" t="n">
        <x:v>0</x:v>
      </x:c>
      <x:c r="H25" s="7" t="n">
        <x:v>0</x:v>
      </x:c>
      <x:c r="I25" s="7" t="n">
        <x:v>10800</x:v>
      </x:c>
      <x:c r="J25" s="7" t="n">
        <x:v>10800</x:v>
      </x:c>
      <x:c r="K25" s="7" t="n">
        <x:f t="shared" si="0">E25*'修订说明'!$B$2</x:f>
        <x:v>593.3678333333332</x:v>
      </x:c>
      <x:c r="L25" s="7" t="n">
        <x:f t="shared" si="1">B25*K25</x:f>
        <x:v>259.7764374333333</x:v>
      </x:c>
    </x:row>
    <x:row r="26">
      <x:c r="A26" t="s">
        <x:v>26</x:v>
      </x:c>
      <x:c r="B26" s="7" t="n">
        <x:v>0.4401</x:v>
      </x:c>
      <x:c r="C26" s="7" t="n">
        <x:v>3561.9581</x:v>
      </x:c>
      <x:c r="D26" s="7" t="n">
        <x:v>0</x:v>
      </x:c>
      <x:c r="E26" s="7" t="n">
        <x:v>3561.9581000000035</x:v>
      </x:c>
      <x:c r="F26" s="7" t="n">
        <x:v>0</x:v>
      </x:c>
      <x:c r="G26" s="7" t="n">
        <x:v>0</x:v>
      </x:c>
      <x:c r="H26" s="7" t="n">
        <x:v>0</x:v>
      </x:c>
      <x:c r="I26" s="7" t="n">
        <x:v>10800</x:v>
      </x:c>
      <x:c r="J26" s="7" t="n">
        <x:v>10800</x:v>
      </x:c>
      <x:c r="K26" s="7" t="n">
        <x:f t="shared" si="0">E26*'修订说明'!$B$2</x:f>
        <x:v>593.6596833333339</x:v>
      </x:c>
      <x:c r="L26" s="7" t="n">
        <x:f t="shared" si="1">B26*K26</x:f>
        <x:v>261.26962663500024</x:v>
      </x:c>
    </x:row>
    <x:row r="27">
      <x:c r="A27" t="s">
        <x:v>27</x:v>
      </x:c>
      <x:c r="B27" s="7" t="n">
        <x:v>0.4389</x:v>
      </x:c>
      <x:c r="C27" s="7" t="n">
        <x:v>3556.7183</x:v>
      </x:c>
      <x:c r="D27" s="7" t="n">
        <x:v>0</x:v>
      </x:c>
      <x:c r="E27" s="7" t="n">
        <x:v>3556.718300000003</x:v>
      </x:c>
      <x:c r="F27" s="7" t="n">
        <x:v>0</x:v>
      </x:c>
      <x:c r="G27" s="7" t="n">
        <x:v>0</x:v>
      </x:c>
      <x:c r="H27" s="7" t="n">
        <x:v>0</x:v>
      </x:c>
      <x:c r="I27" s="7" t="n">
        <x:v>10800</x:v>
      </x:c>
      <x:c r="J27" s="7" t="n">
        <x:v>10800</x:v>
      </x:c>
      <x:c r="K27" s="7" t="n">
        <x:f t="shared" si="0">E27*'修订说明'!$B$2</x:f>
        <x:v>592.7863833333338</x:v>
      </x:c>
      <x:c r="L27" s="7" t="n">
        <x:f t="shared" si="1">B27*K27</x:f>
        <x:v>260.1739436450002</x:v>
      </x:c>
    </x:row>
    <x:row r="28">
      <x:c r="A28" t="s">
        <x:v>28</x:v>
      </x:c>
      <x:c r="B28" s="7" t="n">
        <x:v>0.4364</x:v>
      </x:c>
      <x:c r="C28" s="7" t="n">
        <x:v>3560.0272</x:v>
      </x:c>
      <x:c r="D28" s="7" t="n">
        <x:v>0</x:v>
      </x:c>
      <x:c r="E28" s="7" t="n">
        <x:v>3560.027200000003</x:v>
      </x:c>
      <x:c r="F28" s="7" t="n">
        <x:v>0</x:v>
      </x:c>
      <x:c r="G28" s="7" t="n">
        <x:v>0</x:v>
      </x:c>
      <x:c r="H28" s="7" t="n">
        <x:v>0</x:v>
      </x:c>
      <x:c r="I28" s="7" t="n">
        <x:v>10800</x:v>
      </x:c>
      <x:c r="J28" s="7" t="n">
        <x:v>10800.000000000002</x:v>
      </x:c>
      <x:c r="K28" s="7" t="n">
        <x:f t="shared" si="0">E28*'修订说明'!$B$2</x:f>
        <x:v>593.3378666666672</x:v>
      </x:c>
      <x:c r="L28" s="7" t="n">
        <x:f t="shared" si="1">B28*K28</x:f>
        <x:v>258.93264501333357</x:v>
      </x:c>
    </x:row>
    <x:row r="29">
      <x:c r="A29" t="s">
        <x:v>29</x:v>
      </x:c>
      <x:c r="B29" s="7" t="n">
        <x:v>0.4393</x:v>
      </x:c>
      <x:c r="C29" s="7" t="n">
        <x:v>3580.654</x:v>
      </x:c>
      <x:c r="D29" s="7" t="n">
        <x:v>0.5994</x:v>
      </x:c>
      <x:c r="E29" s="7" t="n">
        <x:v>3580.054600000003</x:v>
      </x:c>
      <x:c r="F29" s="7" t="n">
        <x:v>0</x:v>
      </x:c>
      <x:c r="G29" s="7" t="n">
        <x:v>0</x:v>
      </x:c>
      <x:c r="H29" s="7" t="n">
        <x:v>0</x:v>
      </x:c>
      <x:c r="I29" s="7" t="n">
        <x:v>10800.000000000002</x:v>
      </x:c>
      <x:c r="J29" s="7" t="n">
        <x:v>10800.000000000002</x:v>
      </x:c>
      <x:c r="K29" s="7" t="n">
        <x:f t="shared" si="0">E29*'修订说明'!$B$2</x:f>
        <x:v>596.6757666666672</x:v>
      </x:c>
      <x:c r="L29" s="7" t="n">
        <x:f t="shared" si="1">B29*K29</x:f>
        <x:v>262.1196642966669</x:v>
      </x:c>
    </x:row>
    <x:row r="30">
      <x:c r="A30" t="s">
        <x:v>30</x:v>
      </x:c>
      <x:c r="B30" s="7" t="n">
        <x:v>0.4422</x:v>
      </x:c>
      <x:c r="C30" s="7" t="n">
        <x:v>3586.916</x:v>
      </x:c>
      <x:c r="D30" s="7" t="n">
        <x:v>0.2345</x:v>
      </x:c>
      <x:c r="E30" s="7" t="n">
        <x:v>3586.6815</x:v>
      </x:c>
      <x:c r="F30" s="7" t="n">
        <x:v>0</x:v>
      </x:c>
      <x:c r="G30" s="7" t="n">
        <x:v>0</x:v>
      </x:c>
      <x:c r="H30" s="7" t="n">
        <x:v>0</x:v>
      </x:c>
      <x:c r="I30" s="7" t="n">
        <x:v>10800.000000000002</x:v>
      </x:c>
      <x:c r="J30" s="7" t="n">
        <x:v>10800.000000000002</x:v>
      </x:c>
      <x:c r="K30" s="7" t="n">
        <x:f t="shared" si="0">E30*'修订说明'!$B$2</x:f>
        <x:v>597.78025</x:v>
      </x:c>
      <x:c r="L30" s="7" t="n">
        <x:f t="shared" si="1">B30*K30</x:f>
        <x:v>264.33842655</x:v>
      </x:c>
    </x:row>
    <x:row r="31">
      <x:c r="A31" t="s">
        <x:v>31</x:v>
      </x:c>
      <x:c r="B31" s="7" t="n">
        <x:v>0.4395</x:v>
      </x:c>
      <x:c r="C31" s="7" t="n">
        <x:v>3571.2635</x:v>
      </x:c>
      <x:c r="D31" s="7" t="n">
        <x:v>0.2885</x:v>
      </x:c>
      <x:c r="E31" s="7" t="n">
        <x:v>3570.9749999999985</x:v>
      </x:c>
      <x:c r="F31" s="7" t="n">
        <x:v>0</x:v>
      </x:c>
      <x:c r="G31" s="7" t="n">
        <x:v>0</x:v>
      </x:c>
      <x:c r="H31" s="7" t="n">
        <x:v>0</x:v>
      </x:c>
      <x:c r="I31" s="7" t="n">
        <x:v>10800.000000000002</x:v>
      </x:c>
      <x:c r="J31" s="7" t="n">
        <x:v>10800.000000000002</x:v>
      </x:c>
      <x:c r="K31" s="7" t="n">
        <x:f t="shared" si="0">E31*'修订说明'!$B$2</x:f>
        <x:v>595.1624999999997</x:v>
      </x:c>
      <x:c r="L31" s="7" t="n">
        <x:f t="shared" si="1">B31*K31</x:f>
        <x:v>261.57391874999985</x:v>
      </x:c>
    </x:row>
    <x:row r="32">
      <x:c r="A32" t="s">
        <x:v>32</x:v>
      </x:c>
      <x:c r="B32" s="7" t="n">
        <x:v>0.4333</x:v>
      </x:c>
      <x:c r="C32" s="7" t="n">
        <x:v>3562.3171</x:v>
      </x:c>
      <x:c r="D32" s="7" t="n">
        <x:v>18.6781</x:v>
      </x:c>
      <x:c r="E32" s="7" t="n">
        <x:v>3543.638999999999</x:v>
      </x:c>
      <x:c r="F32" s="7" t="n">
        <x:v>0</x:v>
      </x:c>
      <x:c r="G32" s="7" t="n">
        <x:v>0</x:v>
      </x:c>
      <x:c r="H32" s="7" t="n">
        <x:v>0</x:v>
      </x:c>
      <x:c r="I32" s="7" t="n">
        <x:v>10800.000000000002</x:v>
      </x:c>
      <x:c r="J32" s="7" t="n">
        <x:v>10800.000000000002</x:v>
      </x:c>
      <x:c r="K32" s="7" t="n">
        <x:f t="shared" si="0">E32*'修订说明'!$B$2</x:f>
        <x:v>590.6064999999999</x:v>
      </x:c>
      <x:c r="L32" s="7" t="n">
        <x:f t="shared" si="1">B32*K32</x:f>
        <x:v>255.90979644999996</x:v>
      </x:c>
    </x:row>
    <x:row r="33">
      <x:c r="A33" t="s">
        <x:v>33</x:v>
      </x:c>
      <x:c r="B33" s="7" t="n">
        <x:v>0.4439</x:v>
      </x:c>
      <x:c r="C33" s="7" t="n">
        <x:v>3591.3809</x:v>
      </x:c>
      <x:c r="D33" s="7" t="n">
        <x:v>54.4698</x:v>
      </x:c>
      <x:c r="E33" s="7" t="n">
        <x:v>3536.911100000001</x:v>
      </x:c>
      <x:c r="F33" s="7" t="n">
        <x:v>0</x:v>
      </x:c>
      <x:c r="G33" s="7" t="n">
        <x:v>0</x:v>
      </x:c>
      <x:c r="H33" s="7" t="n">
        <x:v>0</x:v>
      </x:c>
      <x:c r="I33" s="7" t="n">
        <x:v>10800.000000000002</x:v>
      </x:c>
      <x:c r="J33" s="7" t="n">
        <x:v>10800.000000000002</x:v>
      </x:c>
      <x:c r="K33" s="7" t="n">
        <x:f t="shared" si="0">E33*'修订说明'!$B$2</x:f>
        <x:v>589.4851833333335</x:v>
      </x:c>
      <x:c r="L33" s="7" t="n">
        <x:f t="shared" si="1">B33*K33</x:f>
        <x:v>261.67247288166675</x:v>
      </x:c>
    </x:row>
    <x:row r="34">
      <x:c r="A34" t="s">
        <x:v>34</x:v>
      </x:c>
      <x:c r="B34" s="7" t="n">
        <x:v>0.4301</x:v>
      </x:c>
      <x:c r="C34" s="7" t="n">
        <x:v>3579.7045</x:v>
      </x:c>
      <x:c r="D34" s="7" t="n">
        <x:v>108.9718</x:v>
      </x:c>
      <x:c r="E34" s="7" t="n">
        <x:v>2480.959455913045</x:v>
      </x:c>
      <x:c r="F34" s="7" t="n">
        <x:v>0</x:v>
      </x:c>
      <x:c r="G34" s="7" t="n">
        <x:v>989.7732440869194</x:v>
      </x:c>
      <x:c r="H34" s="7" t="n">
        <x:v>0</x:v>
      </x:c>
      <x:c r="I34" s="7" t="n">
        <x:v>10800.000000000002</x:v>
      </x:c>
      <x:c r="J34" s="7" t="n">
        <x:v>10626.114565643971</x:v>
      </x:c>
      <x:c r="K34" s="7" t="n">
        <x:f t="shared" ref="K34:K65" si="2">E34*'修订说明'!$B$2</x:f>
        <x:v>413.49324265217416</x:v>
      </x:c>
      <x:c r="L34" s="7" t="n">
        <x:f t="shared" ref="L34:L65" si="3">B34*K34</x:f>
        <x:v>177.8434436647001</x:v>
      </x:c>
    </x:row>
    <x:row r="35">
      <x:c r="A35" t="s">
        <x:v>35</x:v>
      </x:c>
      <x:c r="B35" s="7" t="n">
        <x:v>0.3713</x:v>
      </x:c>
      <x:c r="C35" s="7" t="n">
        <x:v>3486.119</x:v>
      </x:c>
      <x:c r="D35" s="7" t="n">
        <x:v>184.1603</x:v>
      </x:c>
      <x:c r="E35" s="7" t="n">
        <x:v>1312.185455913048</x:v>
      </x:c>
      <x:c r="F35" s="7" t="n">
        <x:v>0</x:v>
      </x:c>
      <x:c r="G35" s="7" t="n">
        <x:v>1989.773244086936</x:v>
      </x:c>
      <x:c r="H35" s="7" t="n">
        <x:v>0</x:v>
      </x:c>
      <x:c r="I35" s="7" t="n">
        <x:v>10626.114565643971</x:v>
      </x:c>
      <x:c r="J35" s="7" t="n">
        <x:v>10276.547039056364</x:v>
      </x:c>
      <x:c r="K35" s="7" t="n">
        <x:f t="shared" si="2">E35*'修订说明'!$B$2</x:f>
        <x:v>218.69757598550797</x:v>
      </x:c>
      <x:c r="L35" s="7" t="n">
        <x:f t="shared" si="3">B35*K35</x:f>
        <x:v>81.20240996341911</x:v>
      </x:c>
    </x:row>
    <x:row r="36">
      <x:c r="A36" t="s">
        <x:v>36</x:v>
      </x:c>
      <x:c r="B36" s="7" t="n">
        <x:v>0.5708</x:v>
      </x:c>
      <x:c r="C36" s="7" t="n">
        <x:v>3823.8994</x:v>
      </x:c>
      <x:c r="D36" s="7" t="n">
        <x:v>277.0582</x:v>
      </x:c>
      <x:c r="E36" s="7" t="n">
        <x:v>557.0679559130476</x:v>
      </x:c>
      <x:c r="F36" s="7" t="n">
        <x:v>0</x:v>
      </x:c>
      <x:c r="G36" s="7" t="n">
        <x:v>2989.7732440868995</x:v>
      </x:c>
      <x:c r="H36" s="7" t="n">
        <x:v>0</x:v>
      </x:c>
      <x:c r="I36" s="7" t="n">
        <x:v>10276.547039056364</x:v>
      </x:c>
      <x:c r="J36" s="7" t="n">
        <x:v>9751.29742023718</x:v>
      </x:c>
      <x:c r="K36" s="7" t="n">
        <x:f t="shared" si="2">E36*'修订说明'!$B$2</x:f>
        <x:v>92.84465931884127</x:v>
      </x:c>
      <x:c r="L36" s="7" t="n">
        <x:f t="shared" si="3">B36*K36</x:f>
        <x:v>52.995731539194594</x:v>
      </x:c>
    </x:row>
    <x:row r="37">
      <x:c r="A37" t="s">
        <x:v>37</x:v>
      </x:c>
      <x:c r="B37" s="7" t="n">
        <x:v>0.9099</x:v>
      </x:c>
      <x:c r="C37" s="7" t="n">
        <x:v>4398.0727</x:v>
      </x:c>
      <x:c r="D37" s="7" t="n">
        <x:v>388.5494</x:v>
      </x:c>
      <x:c r="E37" s="7" t="n">
        <x:v>19.75005591304762</x:v>
      </x:c>
      <x:c r="F37" s="7" t="n">
        <x:v>0</x:v>
      </x:c>
      <x:c r="G37" s="7" t="n">
        <x:v>3989.7732440870136</x:v>
      </x:c>
      <x:c r="H37" s="7" t="n">
        <x:v>0</x:v>
      </x:c>
      <x:c r="I37" s="7" t="n">
        <x:v>9751.29742023718</x:v>
      </x:c>
      <x:c r="J37" s="7" t="n">
        <x:v>9050.365709186419</x:v>
      </x:c>
      <x:c r="K37" s="7" t="n">
        <x:f t="shared" si="2">E37*'修订说明'!$B$2</x:f>
        <x:v>3.2916759855079367</x:v>
      </x:c>
      <x:c r="L37" s="7" t="n">
        <x:f t="shared" si="3">B37*K37</x:f>
        <x:v>2.9950959792136715</x:v>
      </x:c>
    </x:row>
    <x:row r="38">
      <x:c r="A38" t="s">
        <x:v>38</x:v>
      </x:c>
      <x:c r="B38" s="7" t="n">
        <x:v>0.9368</x:v>
      </x:c>
      <x:c r="C38" s="7" t="n">
        <x:v>4454.0123</x:v>
      </x:c>
      <x:c r="D38" s="7" t="n">
        <x:v>521.2803</x:v>
      </x:c>
      <x:c r="E38" s="7" t="n">
        <x:v>0</x:v>
      </x:c>
      <x:c r="F38" s="7" t="n">
        <x:v>0</x:v>
      </x:c>
      <x:c r="G38" s="7" t="n">
        <x:v>3932.7319999999863</x:v>
      </x:c>
      <x:c r="H38" s="7" t="n">
        <x:v>0</x:v>
      </x:c>
      <x:c r="I38" s="7" t="n">
        <x:v>9050.365709186419</x:v>
      </x:c>
      <x:c r="J38" s="7" t="n">
        <x:v>8359.455123240346</x:v>
      </x:c>
      <x:c r="K38" s="7" t="n">
        <x:f t="shared" si="2">E38*'修订说明'!$B$2</x:f>
        <x:v>0</x:v>
      </x:c>
      <x:c r="L38" s="7" t="n">
        <x:f t="shared" si="3">B38*K38</x:f>
        <x:v>0</x:v>
      </x:c>
    </x:row>
    <x:row r="39">
      <x:c r="A39" t="s">
        <x:v>39</x:v>
      </x:c>
      <x:c r="B39" s="7" t="n">
        <x:v>0.8758</x:v>
      </x:c>
      <x:c r="C39" s="7" t="n">
        <x:v>4371.7919</x:v>
      </x:c>
      <x:c r="D39" s="7" t="n">
        <x:v>672.7677</x:v>
      </x:c>
      <x:c r="E39" s="7" t="n">
        <x:v>0</x:v>
      </x:c>
      <x:c r="F39" s="7" t="n">
        <x:v>0</x:v>
      </x:c>
      <x:c r="G39" s="7" t="n">
        <x:v>3699.0242000000594</x:v>
      </x:c>
      <x:c r="H39" s="7" t="n">
        <x:v>0</x:v>
      </x:c>
      <x:c r="I39" s="7" t="n">
        <x:v>8359.455123240346</x:v>
      </x:c>
      <x:c r="J39" s="7" t="n">
        <x:v>7709.602812569111</x:v>
      </x:c>
      <x:c r="K39" s="7" t="n">
        <x:f t="shared" si="2">E39*'修订说明'!$B$2</x:f>
        <x:v>0</x:v>
      </x:c>
      <x:c r="L39" s="7" t="n">
        <x:f t="shared" si="3">B39*K39</x:f>
        <x:v>0</x:v>
      </x:c>
    </x:row>
    <x:row r="40">
      <x:c r="A40" t="s">
        <x:v>40</x:v>
      </x:c>
      <x:c r="B40" s="7" t="n">
        <x:v>0.8759</x:v>
      </x:c>
      <x:c r="C40" s="7" t="n">
        <x:v>4392.953</x:v>
      </x:c>
      <x:c r="D40" s="7" t="n">
        <x:v>844.2261</x:v>
      </x:c>
      <x:c r="E40" s="7" t="n">
        <x:v>0</x:v>
      </x:c>
      <x:c r="F40" s="7" t="n">
        <x:v>0</x:v>
      </x:c>
      <x:c r="G40" s="7" t="n">
        <x:v>3548.726899999899</x:v>
      </x:c>
      <x:c r="H40" s="7" t="n">
        <x:v>0</x:v>
      </x:c>
      <x:c r="I40" s="7" t="n">
        <x:v>7709.602812569111</x:v>
      </x:c>
      <x:c r="J40" s="7" t="n">
        <x:v>7086.155046018635</x:v>
      </x:c>
      <x:c r="K40" s="7" t="n">
        <x:f t="shared" si="2">E40*'修订说明'!$B$2</x:f>
        <x:v>0</x:v>
      </x:c>
      <x:c r="L40" s="7" t="n">
        <x:f t="shared" si="3">B40*K40</x:f>
        <x:v>0</x:v>
      </x:c>
    </x:row>
    <x:row r="41">
      <x:c r="A41" t="s">
        <x:v>41</x:v>
      </x:c>
      <x:c r="B41" s="7" t="n">
        <x:v>0.8601</x:v>
      </x:c>
      <x:c r="C41" s="7" t="n">
        <x:v>4384.5956</x:v>
      </x:c>
      <x:c r="D41" s="7" t="n">
        <x:v>1039.6744</x:v>
      </x:c>
      <x:c r="E41" s="7" t="n">
        <x:v>0</x:v>
      </x:c>
      <x:c r="F41" s="7" t="n">
        <x:v>0</x:v>
      </x:c>
      <x:c r="G41" s="7" t="n">
        <x:v>3344.921199999986</x:v>
      </x:c>
      <x:c r="H41" s="7" t="n">
        <x:v>0</x:v>
      </x:c>
      <x:c r="I41" s="7" t="n">
        <x:v>7086.155046018635</x:v>
      </x:c>
      <x:c r="J41" s="7" t="n">
        <x:v>6498.51229125288</x:v>
      </x:c>
      <x:c r="K41" s="7" t="n">
        <x:f t="shared" si="2">E41*'修订说明'!$B$2</x:f>
        <x:v>0</x:v>
      </x:c>
      <x:c r="L41" s="7" t="n">
        <x:f t="shared" si="3">B41*K41</x:f>
        <x:v>0</x:v>
      </x:c>
    </x:row>
    <x:row r="42">
      <x:c r="A42" t="s">
        <x:v>42</x:v>
      </x:c>
      <x:c r="B42" s="7" t="n">
        <x:v>0.8442</x:v>
      </x:c>
      <x:c r="C42" s="7" t="n">
        <x:v>4434.7757</x:v>
      </x:c>
      <x:c r="D42" s="7" t="n">
        <x:v>1259.3375</x:v>
      </x:c>
      <x:c r="E42" s="7" t="n">
        <x:v>0</x:v>
      </x:c>
      <x:c r="F42" s="7" t="n">
        <x:v>0</x:v>
      </x:c>
      <x:c r="G42" s="7" t="n">
        <x:v>3175.4382000000187</x:v>
      </x:c>
      <x:c r="H42" s="7" t="n">
        <x:v>0</x:v>
      </x:c>
      <x:c r="I42" s="7" t="n">
        <x:v>6498.51229125288</x:v>
      </x:c>
      <x:c r="J42" s="7" t="n">
        <x:v>5940.644664524808</x:v>
      </x:c>
      <x:c r="K42" s="7" t="n">
        <x:f t="shared" si="2">E42*'修订说明'!$B$2</x:f>
        <x:v>0</x:v>
      </x:c>
      <x:c r="L42" s="7" t="n">
        <x:f t="shared" si="3">B42*K42</x:f>
        <x:v>0</x:v>
      </x:c>
    </x:row>
    <x:row r="43">
      <x:c r="A43" t="s">
        <x:v>43</x:v>
      </x:c>
      <x:c r="B43" s="7" t="n">
        <x:v>0.8334</x:v>
      </x:c>
      <x:c r="C43" s="7" t="n">
        <x:v>4523.4561</x:v>
      </x:c>
      <x:c r="D43" s="7" t="n">
        <x:v>1508.6318</x:v>
      </x:c>
      <x:c r="E43" s="7" t="n">
        <x:v>0</x:v>
      </x:c>
      <x:c r="F43" s="7" t="n">
        <x:v>0</x:v>
      </x:c>
      <x:c r="G43" s="7" t="n">
        <x:v>3014.8243000000393</x:v>
      </x:c>
      <x:c r="H43" s="7" t="n">
        <x:v>0</x:v>
      </x:c>
      <x:c r="I43" s="7" t="n">
        <x:v>5940.644664524808</x:v>
      </x:c>
      <x:c r="J43" s="7" t="n">
        <x:v>5410.994023790208</x:v>
      </x:c>
      <x:c r="K43" s="7" t="n">
        <x:f t="shared" si="2">E43*'修订说明'!$B$2</x:f>
        <x:v>0</x:v>
      </x:c>
      <x:c r="L43" s="7" t="n">
        <x:f t="shared" si="3">B43*K43</x:f>
        <x:v>0</x:v>
      </x:c>
    </x:row>
    <x:row r="44">
      <x:c r="A44" t="s">
        <x:v>44</x:v>
      </x:c>
      <x:c r="B44" s="7" t="n">
        <x:v>0.8092</x:v>
      </x:c>
      <x:c r="C44" s="7" t="n">
        <x:v>4524.0721</x:v>
      </x:c>
      <x:c r="D44" s="7" t="n">
        <x:v>1791.4107</x:v>
      </x:c>
      <x:c r="E44" s="7" t="n">
        <x:v>0</x:v>
      </x:c>
      <x:c r="F44" s="7" t="n">
        <x:v>0</x:v>
      </x:c>
      <x:c r="G44" s="7" t="n">
        <x:v>2732.6613999999686</x:v>
      </x:c>
      <x:c r="H44" s="7" t="n">
        <x:v>0</x:v>
      </x:c>
      <x:c r="I44" s="7" t="n">
        <x:v>5410.994023790208</x:v>
      </x:c>
      <x:c r="J44" s="7" t="n">
        <x:v>4930.914351677739</x:v>
      </x:c>
      <x:c r="K44" s="7" t="n">
        <x:f t="shared" si="2">E44*'修订说明'!$B$2</x:f>
        <x:v>0</x:v>
      </x:c>
      <x:c r="L44" s="7" t="n">
        <x:f t="shared" si="3">B44*K44</x:f>
        <x:v>0</x:v>
      </x:c>
    </x:row>
    <x:row r="45">
      <x:c r="A45" t="s">
        <x:v>45</x:v>
      </x:c>
      <x:c r="B45" s="7" t="n">
        <x:v>0.7972</x:v>
      </x:c>
      <x:c r="C45" s="7" t="n">
        <x:v>4545.8867</x:v>
      </x:c>
      <x:c r="D45" s="7" t="n">
        <x:v>2085.4865</x:v>
      </x:c>
      <x:c r="E45" s="7" t="n">
        <x:v>0</x:v>
      </x:c>
      <x:c r="F45" s="7" t="n">
        <x:v>0</x:v>
      </x:c>
      <x:c r="G45" s="7" t="n">
        <x:v>2460.4002</x:v>
      </x:c>
      <x:c r="H45" s="7" t="n">
        <x:v>0</x:v>
      </x:c>
      <x:c r="I45" s="7" t="n">
        <x:v>4930.914351677739</x:v>
      </x:c>
      <x:c r="J45" s="7" t="n">
        <x:v>4498.66609681475</x:v>
      </x:c>
      <x:c r="K45" s="7" t="n">
        <x:f t="shared" si="2">E45*'修订说明'!$B$2</x:f>
        <x:v>0</x:v>
      </x:c>
      <x:c r="L45" s="7" t="n">
        <x:f t="shared" si="3">B45*K45</x:f>
        <x:v>0</x:v>
      </x:c>
    </x:row>
    <x:row r="46">
      <x:c r="A46" t="s">
        <x:v>46</x:v>
      </x:c>
      <x:c r="B46" s="7" t="n">
        <x:v>0.7644</x:v>
      </x:c>
      <x:c r="C46" s="7" t="n">
        <x:v>4523.2418</x:v>
      </x:c>
      <x:c r="D46" s="7" t="n">
        <x:v>2381.2611</x:v>
      </x:c>
      <x:c r="E46" s="7" t="n">
        <x:v>0</x:v>
      </x:c>
      <x:c r="F46" s="7" t="n">
        <x:v>0</x:v>
      </x:c>
      <x:c r="G46" s="7" t="n">
        <x:v>2141.9807000000387</x:v>
      </x:c>
      <x:c r="H46" s="7" t="n">
        <x:v>0</x:v>
      </x:c>
      <x:c r="I46" s="7" t="n">
        <x:v>4498.66609681475</x:v>
      </x:c>
      <x:c r="J46" s="7" t="n">
        <x:v>4122.358445919092</x:v>
      </x:c>
      <x:c r="K46" s="7" t="n">
        <x:f t="shared" si="2">E46*'修订说明'!$B$2</x:f>
        <x:v>0</x:v>
      </x:c>
      <x:c r="L46" s="7" t="n">
        <x:f t="shared" si="3">B46*K46</x:f>
        <x:v>0</x:v>
      </x:c>
    </x:row>
    <x:row r="47">
      <x:c r="A47" t="s">
        <x:v>47</x:v>
      </x:c>
      <x:c r="B47" s="7" t="n">
        <x:v>0.6899</x:v>
      </x:c>
      <x:c r="C47" s="7" t="n">
        <x:v>4383.3566</x:v>
      </x:c>
      <x:c r="D47" s="7" t="n">
        <x:v>2683.1752</x:v>
      </x:c>
      <x:c r="E47" s="7" t="n">
        <x:v>0</x:v>
      </x:c>
      <x:c r="F47" s="7" t="n">
        <x:v>0</x:v>
      </x:c>
      <x:c r="G47" s="7" t="n">
        <x:v>1700.1814000000138</x:v>
      </x:c>
      <x:c r="H47" s="7" t="n">
        <x:v>0</x:v>
      </x:c>
      <x:c r="I47" s="7" t="n">
        <x:v>4122.358445919092</x:v>
      </x:c>
      <x:c r="J47" s="7" t="n">
        <x:v>3823.667020393881</x:v>
      </x:c>
      <x:c r="K47" s="7" t="n">
        <x:f t="shared" si="2">E47*'修订说明'!$B$2</x:f>
        <x:v>0</x:v>
      </x:c>
      <x:c r="L47" s="7" t="n">
        <x:f t="shared" si="3">B47*K47</x:f>
        <x:v>0</x:v>
      </x:c>
    </x:row>
    <x:row r="48">
      <x:c r="A48" t="s">
        <x:v>48</x:v>
      </x:c>
      <x:c r="B48" s="7" t="n">
        <x:v>0.86</x:v>
      </x:c>
      <x:c r="C48" s="7" t="n">
        <x:v>4910.4599</x:v>
      </x:c>
      <x:c r="D48" s="7" t="n">
        <x:v>2986.3552</x:v>
      </x:c>
      <x:c r="E48" s="7" t="n">
        <x:v>0</x:v>
      </x:c>
      <x:c r="F48" s="7" t="n">
        <x:v>0</x:v>
      </x:c>
      <x:c r="G48" s="7" t="n">
        <x:v>1924.1047000000012</x:v>
      </x:c>
      <x:c r="H48" s="7" t="n">
        <x:v>0</x:v>
      </x:c>
      <x:c r="I48" s="7" t="n">
        <x:v>3823.667020393881</x:v>
      </x:c>
      <x:c r="J48" s="7" t="n">
        <x:v>3485.636281025271</x:v>
      </x:c>
      <x:c r="K48" s="7" t="n">
        <x:f t="shared" si="2">E48*'修订说明'!$B$2</x:f>
        <x:v>0</x:v>
      </x:c>
      <x:c r="L48" s="7" t="n">
        <x:f t="shared" si="3">B48*K48</x:f>
        <x:v>0</x:v>
      </x:c>
    </x:row>
    <x:row r="49">
      <x:c r="A49" t="s">
        <x:v>49</x:v>
      </x:c>
      <x:c r="B49" s="7" t="n">
        <x:v>1.1617</x:v>
      </x:c>
      <x:c r="C49" s="7" t="n">
        <x:v>5799.7327</x:v>
      </x:c>
      <x:c r="D49" s="7" t="n">
        <x:v>3289.204</x:v>
      </x:c>
      <x:c r="E49" s="7" t="n">
        <x:v>0</x:v>
      </x:c>
      <x:c r="F49" s="7" t="n">
        <x:v>0</x:v>
      </x:c>
      <x:c r="G49" s="7" t="n">
        <x:v>2510.5286999999935</x:v>
      </x:c>
      <x:c r="H49" s="7" t="n">
        <x:v>0</x:v>
      </x:c>
      <x:c r="I49" s="7" t="n">
        <x:v>3485.636281025271</x:v>
      </x:c>
      <x:c r="J49" s="7" t="n">
        <x:v>3044.581346401851</x:v>
      </x:c>
      <x:c r="K49" s="7" t="n">
        <x:f t="shared" si="2">E49*'修订说明'!$B$2</x:f>
        <x:v>0</x:v>
      </x:c>
      <x:c r="L49" s="7" t="n">
        <x:f t="shared" si="3">B49*K49</x:f>
        <x:v>0</x:v>
      </x:c>
    </x:row>
    <x:row r="50">
      <x:c r="A50" t="s">
        <x:v>50</x:v>
      </x:c>
      <x:c r="B50" s="7" t="n">
        <x:v>1.1683</x:v>
      </x:c>
      <x:c r="C50" s="7" t="n">
        <x:v>5884.826</x:v>
      </x:c>
      <x:c r="D50" s="7" t="n">
        <x:v>3593.3613</x:v>
      </x:c>
      <x:c r="E50" s="7" t="n">
        <x:v>0</x:v>
      </x:c>
      <x:c r="F50" s="7" t="n">
        <x:v>0</x:v>
      </x:c>
      <x:c r="G50" s="7" t="n">
        <x:v>2291.4647000000055</x:v>
      </x:c>
      <x:c r="H50" s="7" t="n">
        <x:v>0</x:v>
      </x:c>
      <x:c r="I50" s="7" t="n">
        <x:v>3044.581346401851</x:v>
      </x:c>
      <x:c r="J50" s="7" t="n">
        <x:v>2642.012033631049</x:v>
      </x:c>
      <x:c r="K50" s="7" t="n">
        <x:f t="shared" si="2">E50*'修订说明'!$B$2</x:f>
        <x:v>0</x:v>
      </x:c>
      <x:c r="L50" s="7" t="n">
        <x:f t="shared" si="3">B50*K50</x:f>
        <x:v>0</x:v>
      </x:c>
    </x:row>
    <x:row r="51">
      <x:c r="A51" t="s">
        <x:v>51</x:v>
      </x:c>
      <x:c r="B51" s="7" t="n">
        <x:v>1.0956</x:v>
      </x:c>
      <x:c r="C51" s="7" t="n">
        <x:v>5748.0713</x:v>
      </x:c>
      <x:c r="D51" s="7" t="n">
        <x:v>3890.7332</x:v>
      </x:c>
      <x:c r="E51" s="7" t="n">
        <x:v>0</x:v>
      </x:c>
      <x:c r="F51" s="7" t="n">
        <x:v>0</x:v>
      </x:c>
      <x:c r="G51" s="7" t="n">
        <x:v>1857.3380999999943</x:v>
      </x:c>
      <x:c r="H51" s="7" t="n">
        <x:v>0</x:v>
      </x:c>
      <x:c r="I51" s="7" t="n">
        <x:v>2642.012033631049</x:v>
      </x:c>
      <x:c r="J51" s="7" t="n">
        <x:v>2315.7109902416278</x:v>
      </x:c>
      <x:c r="K51" s="7" t="n">
        <x:f t="shared" si="2">E51*'修订说明'!$B$2</x:f>
        <x:v>0</x:v>
      </x:c>
      <x:c r="L51" s="7" t="n">
        <x:f t="shared" si="3">B51*K51</x:f>
        <x:v>0</x:v>
      </x:c>
    </x:row>
    <x:row r="52">
      <x:c r="A52" t="s">
        <x:v>52</x:v>
      </x:c>
      <x:c r="B52" s="7" t="n">
        <x:v>1.0849</x:v>
      </x:c>
      <x:c r="C52" s="7" t="n">
        <x:v>5769.0581</x:v>
      </x:c>
      <x:c r="D52" s="7" t="n">
        <x:v>4181.3417</x:v>
      </x:c>
      <x:c r="E52" s="7" t="n">
        <x:v>0</x:v>
      </x:c>
      <x:c r="F52" s="7" t="n">
        <x:v>0</x:v>
      </x:c>
      <x:c r="G52" s="7" t="n">
        <x:v>1587.71640000001</x:v>
      </x:c>
      <x:c r="H52" s="7" t="n">
        <x:v>0</x:v>
      </x:c>
      <x:c r="I52" s="7" t="n">
        <x:v>2315.7109902416278</x:v>
      </x:c>
      <x:c r="J52" s="7" t="n">
        <x:v>2036.7776512192406</x:v>
      </x:c>
      <x:c r="K52" s="7" t="n">
        <x:f t="shared" si="2">E52*'修订说明'!$B$2</x:f>
        <x:v>0</x:v>
      </x:c>
      <x:c r="L52" s="7" t="n">
        <x:f t="shared" si="3">B52*K52</x:f>
        <x:v>0</x:v>
      </x:c>
    </x:row>
    <x:row r="53">
      <x:c r="A53" t="s">
        <x:v>53</x:v>
      </x:c>
      <x:c r="B53" s="7" t="n">
        <x:v>1.061</x:v>
      </x:c>
      <x:c r="C53" s="7" t="n">
        <x:v>5754.2105</x:v>
      </x:c>
      <x:c r="D53" s="7" t="n">
        <x:v>4471.7657</x:v>
      </x:c>
      <x:c r="E53" s="7" t="n">
        <x:v>0</x:v>
      </x:c>
      <x:c r="F53" s="7" t="n">
        <x:v>0</x:v>
      </x:c>
      <x:c r="G53" s="7" t="n">
        <x:v>1282.444799999991</x:v>
      </x:c>
      <x:c r="H53" s="7" t="n">
        <x:v>0</x:v>
      </x:c>
      <x:c r="I53" s="7" t="n">
        <x:v>2036.7776512192406</x:v>
      </x:c>
      <x:c r="J53" s="7" t="n">
        <x:v>1811.475065583735</x:v>
      </x:c>
      <x:c r="K53" s="7" t="n">
        <x:f t="shared" si="2">E53*'修订说明'!$B$2</x:f>
        <x:v>0</x:v>
      </x:c>
      <x:c r="L53" s="7" t="n">
        <x:f t="shared" si="3">B53*K53</x:f>
        <x:v>0</x:v>
      </x:c>
    </x:row>
    <x:row r="54">
      <x:c r="A54" t="s">
        <x:v>54</x:v>
      </x:c>
      <x:c r="B54" s="7" t="n">
        <x:v>1.043</x:v>
      </x:c>
      <x:c r="C54" s="7" t="n">
        <x:v>5824.1807</x:v>
      </x:c>
      <x:c r="D54" s="7" t="n">
        <x:v>4752.8272</x:v>
      </x:c>
      <x:c r="E54" s="7" t="n">
        <x:v>0</x:v>
      </x:c>
      <x:c r="F54" s="7" t="n">
        <x:v>0</x:v>
      </x:c>
      <x:c r="G54" s="7" t="n">
        <x:v>1071.3535000000102</x:v>
      </x:c>
      <x:c r="H54" s="7" t="n">
        <x:v>0</x:v>
      </x:c>
      <x:c r="I54" s="7" t="n">
        <x:v>1811.475065583735</x:v>
      </x:c>
      <x:c r="J54" s="7" t="n">
        <x:v>1623.2574411841122</x:v>
      </x:c>
      <x:c r="K54" s="7" t="n">
        <x:f t="shared" si="2">E54*'修订说明'!$B$2</x:f>
        <x:v>0</x:v>
      </x:c>
      <x:c r="L54" s="7" t="n">
        <x:f t="shared" si="3">B54*K54</x:f>
        <x:v>0</x:v>
      </x:c>
    </x:row>
    <x:row r="55">
      <x:c r="A55" t="s">
        <x:v>55</x:v>
      </x:c>
      <x:c r="B55" s="7" t="n">
        <x:v>1.036</x:v>
      </x:c>
      <x:c r="C55" s="7" t="n">
        <x:v>5954.2601</x:v>
      </x:c>
      <x:c r="D55" s="7" t="n">
        <x:v>5021.9074</x:v>
      </x:c>
      <x:c r="E55" s="7" t="n">
        <x:v>0</x:v>
      </x:c>
      <x:c r="F55" s="7" t="n">
        <x:v>0</x:v>
      </x:c>
      <x:c r="G55" s="7" t="n">
        <x:v>932.3527000000086</x:v>
      </x:c>
      <x:c r="H55" s="7" t="n">
        <x:v>0</x:v>
      </x:c>
      <x:c r="I55" s="7" t="n">
        <x:v>1623.2574411841122</x:v>
      </x:c>
      <x:c r="J55" s="7" t="n">
        <x:v>1459.4597681503526</x:v>
      </x:c>
      <x:c r="K55" s="7" t="n">
        <x:f t="shared" si="2">E55*'修订说明'!$B$2</x:f>
        <x:v>0</x:v>
      </x:c>
      <x:c r="L55" s="7" t="n">
        <x:f t="shared" si="3">B55*K55</x:f>
        <x:v>0</x:v>
      </x:c>
    </x:row>
    <x:row r="56">
      <x:c r="A56" t="s">
        <x:v>56</x:v>
      </x:c>
      <x:c r="B56" s="7" t="n">
        <x:v>1.0147</x:v>
      </x:c>
      <x:c r="C56" s="7" t="n">
        <x:v>5958.9696</x:v>
      </x:c>
      <x:c r="D56" s="7" t="n">
        <x:v>5285.4126</x:v>
      </x:c>
      <x:c r="E56" s="7" t="n">
        <x:v>0</x:v>
      </x:c>
      <x:c r="F56" s="7" t="n">
        <x:v>0</x:v>
      </x:c>
      <x:c r="G56" s="7" t="n">
        <x:v>673.5569999999915</x:v>
      </x:c>
      <x:c r="H56" s="7" t="n">
        <x:v>0</x:v>
      </x:c>
      <x:c r="I56" s="7" t="n">
        <x:v>1459.4597681503526</x:v>
      </x:c>
      <x:c r="J56" s="7" t="n">
        <x:v>1341.1278651531286</x:v>
      </x:c>
      <x:c r="K56" s="7" t="n">
        <x:f t="shared" si="2">E56*'修订说明'!$B$2</x:f>
        <x:v>0</x:v>
      </x:c>
      <x:c r="L56" s="7" t="n">
        <x:f t="shared" si="3">B56*K56</x:f>
        <x:v>0</x:v>
      </x:c>
    </x:row>
    <x:row r="57">
      <x:c r="A57" t="s">
        <x:v>57</x:v>
      </x:c>
      <x:c r="B57" s="7" t="n">
        <x:v>0.9922</x:v>
      </x:c>
      <x:c r="C57" s="7" t="n">
        <x:v>5929.5554</x:v>
      </x:c>
      <x:c r="D57" s="7" t="n">
        <x:v>5543.1742</x:v>
      </x:c>
      <x:c r="E57" s="7" t="n">
        <x:v>0</x:v>
      </x:c>
      <x:c r="F57" s="7" t="n">
        <x:v>0</x:v>
      </x:c>
      <x:c r="G57" s="7" t="n">
        <x:v>386.38120000000816</x:v>
      </x:c>
      <x:c r="H57" s="7" t="n">
        <x:v>0</x:v>
      </x:c>
      <x:c r="I57" s="7" t="n">
        <x:v>1341.1278651531286</x:v>
      </x:c>
      <x:c r="J57" s="7" t="n">
        <x:v>1273.2476075381812</x:v>
      </x:c>
      <x:c r="K57" s="7" t="n">
        <x:f t="shared" si="2">E57*'修订说明'!$B$2</x:f>
        <x:v>0</x:v>
      </x:c>
      <x:c r="L57" s="7" t="n">
        <x:f t="shared" si="3">B57*K57</x:f>
        <x:v>0</x:v>
      </x:c>
    </x:row>
    <x:row r="58">
      <x:c r="A58" t="s">
        <x:v>58</x:v>
      </x:c>
      <x:c r="B58" s="7" t="n">
        <x:v>0.97</x:v>
      </x:c>
      <x:c r="C58" s="7" t="n">
        <x:v>5923.7828</x:v>
      </x:c>
      <x:c r="D58" s="7" t="n">
        <x:v>5788.4093</x:v>
      </x:c>
      <x:c r="E58" s="7" t="n">
        <x:v>0</x:v>
      </x:c>
      <x:c r="F58" s="7" t="n">
        <x:v>0</x:v>
      </x:c>
      <x:c r="G58" s="7" t="n">
        <x:v>135.37350000000004</x:v>
      </x:c>
      <x:c r="H58" s="7" t="n">
        <x:v>0</x:v>
      </x:c>
      <x:c r="I58" s="7" t="n">
        <x:v>1273.2476075381812</x:v>
      </x:c>
      <x:c r="J58" s="7" t="n">
        <x:v>1249.46490782547</x:v>
      </x:c>
      <x:c r="K58" s="7" t="n">
        <x:f t="shared" si="2">E58*'修订说明'!$B$2</x:f>
        <x:v>0</x:v>
      </x:c>
      <x:c r="L58" s="7" t="n">
        <x:f t="shared" si="3">B58*K58</x:f>
        <x:v>0</x:v>
      </x:c>
    </x:row>
    <x:row r="59">
      <x:c r="A59" t="s">
        <x:v>59</x:v>
      </x:c>
      <x:c r="B59" s="7" t="n">
        <x:v>0.9422</x:v>
      </x:c>
      <x:c r="C59" s="7" t="n">
        <x:v>5907.586</x:v>
      </x:c>
      <x:c r="D59" s="7" t="n">
        <x:v>6012.1304</x:v>
      </x:c>
      <x:c r="E59" s="7" t="n">
        <x:v>0</x:v>
      </x:c>
      <x:c r="F59" s="7" t="n">
        <x:v>104.54439999999977</x:v>
      </x:c>
      <x:c r="G59" s="7" t="n">
        <x:v>0</x:v>
      </x:c>
      <x:c r="H59" s="7" t="n">
        <x:v>0</x:v>
      </x:c>
      <x:c r="I59" s="7" t="n">
        <x:v>1249.46490782547</x:v>
      </x:c>
      <x:c r="J59" s="7" t="n">
        <x:v>1265.9948288562553</x:v>
      </x:c>
      <x:c r="K59" s="7" t="n">
        <x:f t="shared" si="2">E59*'修订说明'!$B$2</x:f>
        <x:v>0</x:v>
      </x:c>
      <x:c r="L59" s="7" t="n">
        <x:f t="shared" si="3">B59*K59</x:f>
        <x:v>0</x:v>
      </x:c>
    </x:row>
    <x:row r="60">
      <x:c r="A60" t="s">
        <x:v>60</x:v>
      </x:c>
      <x:c r="B60" s="7" t="n">
        <x:v>0.9569</x:v>
      </x:c>
      <x:c r="C60" s="7" t="n">
        <x:v>5899.1262</x:v>
      </x:c>
      <x:c r="D60" s="7" t="n">
        <x:v>6216.1528</x:v>
      </x:c>
      <x:c r="E60" s="7" t="n">
        <x:v>0</x:v>
      </x:c>
      <x:c r="F60" s="7" t="n">
        <x:v>317.0266000000038</x:v>
      </x:c>
      <x:c r="G60" s="7" t="n">
        <x:v>0</x:v>
      </x:c>
      <x:c r="H60" s="7" t="n">
        <x:v>0</x:v>
      </x:c>
      <x:c r="I60" s="7" t="n">
        <x:v>1265.9948288562553</x:v>
      </x:c>
      <x:c r="J60" s="7" t="n">
        <x:v>1316.121135599212</x:v>
      </x:c>
      <x:c r="K60" s="7" t="n">
        <x:f t="shared" si="2">E60*'修订说明'!$B$2</x:f>
        <x:v>0</x:v>
      </x:c>
      <x:c r="L60" s="7" t="n">
        <x:f t="shared" si="3">B60*K60</x:f>
        <x:v>0</x:v>
      </x:c>
    </x:row>
    <x:row r="61">
      <x:c r="A61" t="s">
        <x:v>61</x:v>
      </x:c>
      <x:c r="B61" s="7" t="n">
        <x:v>0.9977</x:v>
      </x:c>
      <x:c r="C61" s="7" t="n">
        <x:v>5902.2196</x:v>
      </x:c>
      <x:c r="D61" s="7" t="n">
        <x:v>6409.5941</x:v>
      </x:c>
      <x:c r="E61" s="7" t="n">
        <x:v>0</x:v>
      </x:c>
      <x:c r="F61" s="7" t="n">
        <x:v>507.3745000000064</x:v>
      </x:c>
      <x:c r="G61" s="7" t="n">
        <x:v>0</x:v>
      </x:c>
      <x:c r="H61" s="7" t="n">
        <x:v>0</x:v>
      </x:c>
      <x:c r="I61" s="7" t="n">
        <x:v>1316.121135599212</x:v>
      </x:c>
      <x:c r="J61" s="7" t="n">
        <x:v>1396.344087933667</x:v>
      </x:c>
      <x:c r="K61" s="7" t="n">
        <x:f t="shared" si="2">E61*'修订说明'!$B$2</x:f>
        <x:v>0</x:v>
      </x:c>
      <x:c r="L61" s="7" t="n">
        <x:f t="shared" si="3">B61*K61</x:f>
        <x:v>0</x:v>
      </x:c>
    </x:row>
    <x:row r="62">
      <x:c r="A62" t="s">
        <x:v>62</x:v>
      </x:c>
      <x:c r="B62" s="7" t="n">
        <x:v>0.9919</x:v>
      </x:c>
      <x:c r="C62" s="7" t="n">
        <x:v>5897.4793</x:v>
      </x:c>
      <x:c r="D62" s="7" t="n">
        <x:v>6599.3808</x:v>
      </x:c>
      <x:c r="E62" s="7" t="n">
        <x:v>0</x:v>
      </x:c>
      <x:c r="F62" s="7" t="n">
        <x:v>701.9014999999953</x:v>
      </x:c>
      <x:c r="G62" s="7" t="n">
        <x:v>0</x:v>
      </x:c>
      <x:c r="H62" s="7" t="n">
        <x:v>0</x:v>
      </x:c>
      <x:c r="I62" s="7" t="n">
        <x:v>1396.344087933667</x:v>
      </x:c>
      <x:c r="J62" s="7" t="n">
        <x:v>1507.3244595881008</x:v>
      </x:c>
      <x:c r="K62" s="7" t="n">
        <x:f t="shared" si="2">E62*'修订说明'!$B$2</x:f>
        <x:v>0</x:v>
      </x:c>
      <x:c r="L62" s="7" t="n">
        <x:f t="shared" si="3">B62*K62</x:f>
        <x:v>0</x:v>
      </x:c>
    </x:row>
    <x:row r="63">
      <x:c r="A63" t="s">
        <x:v>63</x:v>
      </x:c>
      <x:c r="B63" s="7" t="n">
        <x:v>0.9588</x:v>
      </x:c>
      <x:c r="C63" s="7" t="n">
        <x:v>5886.7568</x:v>
      </x:c>
      <x:c r="D63" s="7" t="n">
        <x:v>6766.7204</x:v>
      </x:c>
      <x:c r="E63" s="7" t="n">
        <x:v>0</x:v>
      </x:c>
      <x:c r="F63" s="7" t="n">
        <x:v>879.9636000000083</x:v>
      </x:c>
      <x:c r="G63" s="7" t="n">
        <x:v>0</x:v>
      </x:c>
      <x:c r="H63" s="7" t="n">
        <x:v>0</x:v>
      </x:c>
      <x:c r="I63" s="7" t="n">
        <x:v>1507.3244595881008</x:v>
      </x:c>
      <x:c r="J63" s="7" t="n">
        <x:v>1646.4589212901678</x:v>
      </x:c>
      <x:c r="K63" s="7" t="n">
        <x:f t="shared" si="2">E63*'修订说明'!$B$2</x:f>
        <x:v>0</x:v>
      </x:c>
      <x:c r="L63" s="7" t="n">
        <x:f t="shared" si="3">B63*K63</x:f>
        <x:v>0</x:v>
      </x:c>
    </x:row>
    <x:row r="64">
      <x:c r="A64" t="s">
        <x:v>64</x:v>
      </x:c>
      <x:c r="B64" s="7" t="n">
        <x:v>0.9549</x:v>
      </x:c>
      <x:c r="C64" s="7" t="n">
        <x:v>5873.4708</x:v>
      </x:c>
      <x:c r="D64" s="7" t="n">
        <x:v>6914.5923</x:v>
      </x:c>
      <x:c r="E64" s="7" t="n">
        <x:v>0</x:v>
      </x:c>
      <x:c r="F64" s="7" t="n">
        <x:v>1041.1214999999952</x:v>
      </x:c>
      <x:c r="G64" s="7" t="n">
        <x:v>0</x:v>
      </x:c>
      <x:c r="H64" s="7" t="n">
        <x:v>0</x:v>
      </x:c>
      <x:c r="I64" s="7" t="n">
        <x:v>1646.4589212901678</x:v>
      </x:c>
      <x:c r="J64" s="7" t="n">
        <x:v>1811.0746843387176</x:v>
      </x:c>
      <x:c r="K64" s="7" t="n">
        <x:f t="shared" si="2">E64*'修订说明'!$B$2</x:f>
        <x:v>0</x:v>
      </x:c>
      <x:c r="L64" s="7" t="n">
        <x:f t="shared" si="3">B64*K64</x:f>
        <x:v>0</x:v>
      </x:c>
    </x:row>
    <x:row r="65">
      <x:c r="A65" t="s">
        <x:v>65</x:v>
      </x:c>
      <x:c r="B65" s="7" t="n">
        <x:v>0.9839</x:v>
      </x:c>
      <x:c r="C65" s="7" t="n">
        <x:v>5858.0308</x:v>
      </x:c>
      <x:c r="D65" s="7" t="n">
        <x:v>7064.2053</x:v>
      </x:c>
      <x:c r="E65" s="7" t="n">
        <x:v>0</x:v>
      </x:c>
      <x:c r="F65" s="7" t="n">
        <x:v>1206.1745000000037</x:v>
      </x:c>
      <x:c r="G65" s="7" t="n">
        <x:v>0</x:v>
      </x:c>
      <x:c r="H65" s="7" t="n">
        <x:v>0</x:v>
      </x:c>
      <x:c r="I65" s="7" t="n">
        <x:v>1811.0746843387176</x:v>
      </x:c>
      <x:c r="J65" s="7" t="n">
        <x:v>2001.7876181194556</x:v>
      </x:c>
      <x:c r="K65" s="7" t="n">
        <x:f t="shared" si="2">E65*'修订说明'!$B$2</x:f>
        <x:v>0</x:v>
      </x:c>
      <x:c r="L65" s="7" t="n">
        <x:f t="shared" si="3">B65*K65</x:f>
        <x:v>0</x:v>
      </x:c>
    </x:row>
    <x:row r="66">
      <x:c r="A66" t="s">
        <x:v>66</x:v>
      </x:c>
      <x:c r="B66" s="7" t="n">
        <x:v>0.799</x:v>
      </x:c>
      <x:c r="C66" s="7" t="n">
        <x:v>5844.9948</x:v>
      </x:c>
      <x:c r="D66" s="7" t="n">
        <x:v>7197.4315</x:v>
      </x:c>
      <x:c r="E66" s="7" t="n">
        <x:v>0</x:v>
      </x:c>
      <x:c r="F66" s="7" t="n">
        <x:v>1352.4366999999975</x:v>
      </x:c>
      <x:c r="G66" s="7" t="n">
        <x:v>0</x:v>
      </x:c>
      <x:c r="H66" s="7" t="n">
        <x:v>0</x:v>
      </x:c>
      <x:c r="I66" s="7" t="n">
        <x:v>2001.7876181194556</x:v>
      </x:c>
      <x:c r="J66" s="7" t="n">
        <x:v>2215.6266362795477</x:v>
      </x:c>
      <x:c r="K66" s="7" t="n">
        <x:f t="shared" ref="K66:K97" si="4">E66*'修订说明'!$B$2</x:f>
        <x:v>0</x:v>
      </x:c>
      <x:c r="L66" s="7" t="n">
        <x:f t="shared" ref="L66:L97" si="5">B66*K66</x:f>
        <x:v>0</x:v>
      </x:c>
    </x:row>
    <x:row r="67">
      <x:c r="A67" t="s">
        <x:v>67</x:v>
      </x:c>
      <x:c r="B67" s="7" t="n">
        <x:v>0.5025</x:v>
      </x:c>
      <x:c r="C67" s="7" t="n">
        <x:v>5839.0587</x:v>
      </x:c>
      <x:c r="D67" s="7" t="n">
        <x:v>7303.1142</x:v>
      </x:c>
      <x:c r="E67" s="7" t="n">
        <x:v>0</x:v>
      </x:c>
      <x:c r="F67" s="7" t="n">
        <x:v>1464.055500000002</x:v>
      </x:c>
      <x:c r="G67" s="7" t="n">
        <x:v>0</x:v>
      </x:c>
      <x:c r="H67" s="7" t="n">
        <x:v>0</x:v>
      </x:c>
      <x:c r="I67" s="7" t="n">
        <x:v>2215.6266362795477</x:v>
      </x:c>
      <x:c r="J67" s="7" t="n">
        <x:v>2447.11413632438</x:v>
      </x:c>
      <x:c r="K67" s="7" t="n">
        <x:f t="shared" si="4">E67*'修订说明'!$B$2</x:f>
        <x:v>0</x:v>
      </x:c>
      <x:c r="L67" s="7" t="n">
        <x:f t="shared" si="5">B67*K67</x:f>
        <x:v>0</x:v>
      </x:c>
    </x:row>
    <x:row r="68">
      <x:c r="A68" t="s">
        <x:v>68</x:v>
      </x:c>
      <x:c r="B68" s="7" t="n">
        <x:v>0.4662</x:v>
      </x:c>
      <x:c r="C68" s="7" t="n">
        <x:v>5838.7103</x:v>
      </x:c>
      <x:c r="D68" s="7" t="n">
        <x:v>7387.6848</x:v>
      </x:c>
      <x:c r="E68" s="7" t="n">
        <x:v>914.2965073188035</x:v>
      </x:c>
      <x:c r="F68" s="7" t="n">
        <x:v>2463.2710073187877</x:v>
      </x:c>
      <x:c r="G68" s="7" t="n">
        <x:v>0</x:v>
      </x:c>
      <x:c r="H68" s="7" t="n">
        <x:v>0</x:v>
      </x:c>
      <x:c r="I68" s="7" t="n">
        <x:v>2447.11413632438</x:v>
      </x:c>
      <x:c r="J68" s="7" t="n">
        <x:v>2836.591480193616</x:v>
      </x:c>
      <x:c r="K68" s="7" t="n">
        <x:f t="shared" si="4">E68*'修订说明'!$B$2</x:f>
        <x:v>152.38275121980058</x:v>
      </x:c>
      <x:c r="L68" s="7" t="n">
        <x:f t="shared" si="5">B68*K68</x:f>
        <x:v>71.04083861867103</x:v>
      </x:c>
    </x:row>
    <x:row r="69">
      <x:c r="A69" t="s">
        <x:v>69</x:v>
      </x:c>
      <x:c r="B69" s="7" t="n">
        <x:v>0.5007</x:v>
      </x:c>
      <x:c r="C69" s="7" t="n">
        <x:v>5823.4378</x:v>
      </x:c>
      <x:c r="D69" s="7" t="n">
        <x:v>7459.227</x:v>
      </x:c>
      <x:c r="E69" s="7" t="n">
        <x:v>827.4818073188036</x:v>
      </x:c>
      <x:c r="F69" s="7" t="n">
        <x:v>2463.27100731876</x:v>
      </x:c>
      <x:c r="G69" s="7" t="n">
        <x:v>0</x:v>
      </x:c>
      <x:c r="H69" s="7" t="n">
        <x:v>0</x:v>
      </x:c>
      <x:c r="I69" s="7" t="n">
        <x:v>2836.591480193616</x:v>
      </x:c>
      <x:c r="J69" s="7" t="n">
        <x:v>3226.0688240628524</x:v>
      </x:c>
      <x:c r="K69" s="7" t="n">
        <x:f t="shared" si="4">E69*'修订说明'!$B$2</x:f>
        <x:v>137.91363455313393</x:v>
      </x:c>
      <x:c r="L69" s="7" t="n">
        <x:f t="shared" si="5">B69*K69</x:f>
        <x:v>69.05335682075416</x:v>
      </x:c>
    </x:row>
    <x:row r="70">
      <x:c r="A70" t="s">
        <x:v>70</x:v>
      </x:c>
      <x:c r="B70" s="7" t="n">
        <x:v>0.4827</x:v>
      </x:c>
      <x:c r="C70" s="7" t="n">
        <x:v>5814.7932</x:v>
      </x:c>
      <x:c r="D70" s="7" t="n">
        <x:v>7520.7191</x:v>
      </x:c>
      <x:c r="E70" s="7" t="n">
        <x:v>1757.345107318804</x:v>
      </x:c>
      <x:c r="F70" s="7" t="n">
        <x:v>3463.271007318803</x:v>
      </x:c>
      <x:c r="G70" s="7" t="n">
        <x:v>0</x:v>
      </x:c>
      <x:c r="H70" s="7" t="n">
        <x:v>0</x:v>
      </x:c>
      <x:c r="I70" s="7" t="n">
        <x:v>3226.0688240628524</x:v>
      </x:c>
      <x:c r="J70" s="7" t="n">
        <x:v>3773.660050940507</x:v>
      </x:c>
      <x:c r="K70" s="7" t="n">
        <x:f t="shared" si="4">E70*'修订说明'!$B$2</x:f>
        <x:v>292.89085121980065</x:v>
      </x:c>
      <x:c r="L70" s="7" t="n">
        <x:f t="shared" si="5">B70*K70</x:f>
        <x:v>141.37841388379778</x:v>
      </x:c>
    </x:row>
    <x:row r="71">
      <x:c r="A71" t="s">
        <x:v>71</x:v>
      </x:c>
      <x:c r="B71" s="7" t="n">
        <x:v>0.4785</x:v>
      </x:c>
      <x:c r="C71" s="7" t="n">
        <x:v>5832.3951</x:v>
      </x:c>
      <x:c r="D71" s="7" t="n">
        <x:v>7568.2039</x:v>
      </x:c>
      <x:c r="E71" s="7" t="n">
        <x:v>2727.4622073188034</x:v>
      </x:c>
      <x:c r="F71" s="7" t="n">
        <x:v>4463.271007318786</x:v>
      </x:c>
      <x:c r="G71" s="7" t="n">
        <x:v>0</x:v>
      </x:c>
      <x:c r="H71" s="7" t="n">
        <x:v>0</x:v>
      </x:c>
      <x:c r="I71" s="7" t="n">
        <x:v>3773.660050940507</x:v>
      </x:c>
      <x:c r="J71" s="7" t="n">
        <x:v>4479.365160826581</x:v>
      </x:c>
      <x:c r="K71" s="7" t="n">
        <x:f t="shared" si="4">E71*'修订说明'!$B$2</x:f>
        <x:v>454.5770345531339</x:v>
      </x:c>
      <x:c r="L71" s="7" t="n">
        <x:f t="shared" si="5">B71*K71</x:f>
        <x:v>217.51511103367457</x:v>
      </x:c>
    </x:row>
    <x:row r="72">
      <x:c r="A72" t="s">
        <x:v>72</x:v>
      </x:c>
      <x:c r="B72" s="7" t="n">
        <x:v>0.4662</x:v>
      </x:c>
      <x:c r="C72" s="7" t="n">
        <x:v>5712.901</x:v>
      </x:c>
      <x:c r="D72" s="7" t="n">
        <x:v>7592.1539</x:v>
      </x:c>
      <x:c r="E72" s="7" t="n">
        <x:v>3120.7471000000005</x:v>
      </x:c>
      <x:c r="F72" s="7" t="n">
        <x:v>4999.9999999999945</x:v>
      </x:c>
      <x:c r="G72" s="7" t="n">
        <x:v>0</x:v>
      </x:c>
      <x:c r="H72" s="7" t="n">
        <x:v>0</x:v>
      </x:c>
      <x:c r="I72" s="7" t="n">
        <x:v>4479.365160826581</x:v>
      </x:c>
      <x:c r="J72" s="7" t="n">
        <x:v>5269.934575868676</x:v>
      </x:c>
      <x:c r="K72" s="7" t="n">
        <x:f t="shared" si="4">E72*'修订说明'!$B$2</x:f>
        <x:v>520.1245166666668</x:v>
      </x:c>
      <x:c r="L72" s="7" t="n">
        <x:f t="shared" si="5">B72*K72</x:f>
        <x:v>242.48204967000004</x:v>
      </x:c>
    </x:row>
    <x:row r="73">
      <x:c r="A73" t="s">
        <x:v>73</x:v>
      </x:c>
      <x:c r="B73" s="7" t="n">
        <x:v>0.4432</x:v>
      </x:c>
      <x:c r="C73" s="7" t="n">
        <x:v>5519.4607</x:v>
      </x:c>
      <x:c r="D73" s="7" t="n">
        <x:v>7601.0433</x:v>
      </x:c>
      <x:c r="E73" s="7" t="n">
        <x:v>2918.4174000000003</x:v>
      </x:c>
      <x:c r="F73" s="7" t="n">
        <x:v>4999.999999999991</x:v>
      </x:c>
      <x:c r="G73" s="7" t="n">
        <x:v>0</x:v>
      </x:c>
      <x:c r="H73" s="7" t="n">
        <x:v>0</x:v>
      </x:c>
      <x:c r="I73" s="7" t="n">
        <x:v>5269.934575868676</x:v>
      </x:c>
      <x:c r="J73" s="7" t="n">
        <x:v>6060.503990910771</x:v>
      </x:c>
      <x:c r="K73" s="7" t="n">
        <x:f t="shared" si="4">E73*'修订说明'!$B$2</x:f>
        <x:v>486.40290000000005</x:v>
      </x:c>
      <x:c r="L73" s="7" t="n">
        <x:f t="shared" si="5">B73*K73</x:f>
        <x:v>215.57376528</x:v>
      </x:c>
    </x:row>
    <x:row r="74">
      <x:c r="A74" t="s">
        <x:v>74</x:v>
      </x:c>
      <x:c r="B74" s="7" t="n">
        <x:v>0.4411</x:v>
      </x:c>
      <x:c r="C74" s="7" t="n">
        <x:v>5494.7907</x:v>
      </x:c>
      <x:c r="D74" s="7" t="n">
        <x:v>7612.316</x:v>
      </x:c>
      <x:c r="E74" s="7" t="n">
        <x:v>2882.474699999999</x:v>
      </x:c>
      <x:c r="F74" s="7" t="n">
        <x:v>4999.999999999975</x:v>
      </x:c>
      <x:c r="G74" s="7" t="n">
        <x:v>0</x:v>
      </x:c>
      <x:c r="H74" s="7" t="n">
        <x:v>0</x:v>
      </x:c>
      <x:c r="I74" s="7" t="n">
        <x:v>6060.503990910771</x:v>
      </x:c>
      <x:c r="J74" s="7" t="n">
        <x:v>6851.073405952866</x:v>
      </x:c>
      <x:c r="K74" s="7" t="n">
        <x:f t="shared" si="4">E74*'修订说明'!$B$2</x:f>
        <x:v>480.4124499999998</x:v>
      </x:c>
      <x:c r="L74" s="7" t="n">
        <x:f t="shared" si="5">B74*K74</x:f>
        <x:v>211.9099316949999</x:v>
      </x:c>
    </x:row>
    <x:row r="75">
      <x:c r="A75" t="s">
        <x:v>75</x:v>
      </x:c>
      <x:c r="B75" s="7" t="n">
        <x:v>0.4551</x:v>
      </x:c>
      <x:c r="C75" s="7" t="n">
        <x:v>5514.4524</x:v>
      </x:c>
      <x:c r="D75" s="7" t="n">
        <x:v>7602.6524</x:v>
      </x:c>
      <x:c r="E75" s="7" t="n">
        <x:v>2911.7999999999993</x:v>
      </x:c>
      <x:c r="F75" s="7" t="n">
        <x:v>4999.999999999872</x:v>
      </x:c>
      <x:c r="G75" s="7" t="n">
        <x:v>0</x:v>
      </x:c>
      <x:c r="H75" s="7" t="n">
        <x:v>0</x:v>
      </x:c>
      <x:c r="I75" s="7" t="n">
        <x:v>6851.073405952866</x:v>
      </x:c>
      <x:c r="J75" s="7" t="n">
        <x:v>7641.642820994963</x:v>
      </x:c>
      <x:c r="K75" s="7" t="n">
        <x:f t="shared" si="4">E75*'修订说明'!$B$2</x:f>
        <x:v>485.29999999999984</x:v>
      </x:c>
      <x:c r="L75" s="7" t="n">
        <x:f t="shared" si="5">B75*K75</x:f>
        <x:v>220.86002999999994</x:v>
      </x:c>
    </x:row>
    <x:row r="76">
      <x:c r="A76" t="s">
        <x:v>76</x:v>
      </x:c>
      <x:c r="B76" s="7" t="n">
        <x:v>0.4463</x:v>
      </x:c>
      <x:c r="C76" s="7" t="n">
        <x:v>5485.829</x:v>
      </x:c>
      <x:c r="D76" s="7" t="n">
        <x:v>7554.1872</x:v>
      </x:c>
      <x:c r="E76" s="7" t="n">
        <x:v>2518.6848999999993</x:v>
      </x:c>
      <x:c r="F76" s="7" t="n">
        <x:v>4587.043099999978</x:v>
      </x:c>
      <x:c r="G76" s="7" t="n">
        <x:v>0</x:v>
      </x:c>
      <x:c r="H76" s="7" t="n">
        <x:v>0</x:v>
      </x:c>
      <x:c r="I76" s="7" t="n">
        <x:v>7641.642820994963</x:v>
      </x:c>
      <x:c r="J76" s="7" t="n">
        <x:v>8366.918017062939</x:v>
      </x:c>
      <x:c r="K76" s="7" t="n">
        <x:f t="shared" si="4">E76*'修订说明'!$B$2</x:f>
        <x:v>419.7808166666665</x:v>
      </x:c>
      <x:c r="L76" s="7" t="n">
        <x:f t="shared" si="5">B76*K76</x:f>
        <x:v>187.34817847833324</x:v>
      </x:c>
    </x:row>
    <x:row r="77">
      <x:c r="A77" t="s">
        <x:v>77</x:v>
      </x:c>
      <x:c r="B77" s="7" t="n">
        <x:v>0.4113</x:v>
      </x:c>
      <x:c r="C77" s="7" t="n">
        <x:v>5462.3628</x:v>
      </x:c>
      <x:c r="D77" s="7" t="n">
        <x:v>7472.7384</x:v>
      </x:c>
      <x:c r="E77" s="7" t="n">
        <x:v>1576.6674999999996</x:v>
      </x:c>
      <x:c r="F77" s="7" t="n">
        <x:v>3587.0430999999094</x:v>
      </x:c>
      <x:c r="G77" s="7" t="n">
        <x:v>0</x:v>
      </x:c>
      <x:c r="H77" s="7" t="n">
        <x:v>0</x:v>
      </x:c>
      <x:c r="I77" s="7" t="n">
        <x:v>8366.918017062939</x:v>
      </x:c>
      <x:c r="J77" s="7" t="n">
        <x:v>8934.079330122497</x:v>
      </x:c>
      <x:c r="K77" s="7" t="n">
        <x:f t="shared" si="4">E77*'修订说明'!$B$2</x:f>
        <x:v>262.77791666666656</x:v>
      </x:c>
      <x:c r="L77" s="7" t="n">
        <x:f t="shared" si="5">B77*K77</x:f>
        <x:v>108.08055712499996</x:v>
      </x:c>
    </x:row>
    <x:row r="78">
      <x:c r="A78" t="s">
        <x:v>78</x:v>
      </x:c>
      <x:c r="B78" s="7" t="n">
        <x:v>0.5682</x:v>
      </x:c>
      <x:c r="C78" s="7" t="n">
        <x:v>5566.1066</x:v>
      </x:c>
      <x:c r="D78" s="7" t="n">
        <x:v>7393.4172</x:v>
      </x:c>
      <x:c r="E78" s="7" t="n">
        <x:v>759.7325000000001</x:v>
      </x:c>
      <x:c r="F78" s="7" t="n">
        <x:v>2587.0430999999135</x:v>
      </x:c>
      <x:c r="G78" s="7" t="n">
        <x:v>0</x:v>
      </x:c>
      <x:c r="H78" s="7" t="n">
        <x:v>0</x:v>
      </x:c>
      <x:c r="I78" s="7" t="n">
        <x:v>8934.079330122497</x:v>
      </x:c>
      <x:c r="J78" s="7" t="n">
        <x:v>9343.126760173636</x:v>
      </x:c>
      <x:c r="K78" s="7" t="n">
        <x:f t="shared" si="4">E78*'修订说明'!$B$2</x:f>
        <x:v>126.62208333333334</x:v>
      </x:c>
      <x:c r="L78" s="7" t="n">
        <x:f t="shared" si="5">B78*K78</x:f>
        <x:v>71.94666775</x:v>
      </x:c>
    </x:row>
    <x:row r="79">
      <x:c r="A79" t="s">
        <x:v>79</x:v>
      </x:c>
      <x:c r="B79" s="7" t="n">
        <x:v>0.8279</x:v>
      </x:c>
      <x:c r="C79" s="7" t="n">
        <x:v>5725.7548</x:v>
      </x:c>
      <x:c r="D79" s="7" t="n">
        <x:v>7312.7979</x:v>
      </x:c>
      <x:c r="E79" s="7" t="n">
        <x:v>0</x:v>
      </x:c>
      <x:c r="F79" s="7" t="n">
        <x:v>1587.0430999999062</x:v>
      </x:c>
      <x:c r="G79" s="7" t="n">
        <x:v>0</x:v>
      </x:c>
      <x:c r="H79" s="7" t="n">
        <x:v>0</x:v>
      </x:c>
      <x:c r="I79" s="7" t="n">
        <x:v>9343.126760173636</x:v>
      </x:c>
      <x:c r="J79" s="7" t="n">
        <x:v>9594.060307216356</x:v>
      </x:c>
      <x:c r="K79" s="7" t="n">
        <x:f t="shared" si="4">E79*'修订说明'!$B$2</x:f>
        <x:v>0</x:v>
      </x:c>
      <x:c r="L79" s="7" t="n">
        <x:f t="shared" si="5">B79*K79</x:f>
        <x:v>0</x:v>
      </x:c>
    </x:row>
    <x:row r="80">
      <x:c r="A80" t="s">
        <x:v>80</x:v>
      </x:c>
      <x:c r="B80" s="7" t="n">
        <x:v>0.8636</x:v>
      </x:c>
      <x:c r="C80" s="7" t="n">
        <x:v>5739.4957</x:v>
      </x:c>
      <x:c r="D80" s="7" t="n">
        <x:v>7194.541</x:v>
      </x:c>
      <x:c r="E80" s="7" t="n">
        <x:v>0</x:v>
      </x:c>
      <x:c r="F80" s="7" t="n">
        <x:v>1455.0452999998233</x:v>
      </x:c>
      <x:c r="G80" s="7" t="n">
        <x:v>0</x:v>
      </x:c>
      <x:c r="H80" s="7" t="n">
        <x:v>0</x:v>
      </x:c>
      <x:c r="I80" s="7" t="n">
        <x:v>9594.060307216356</x:v>
      </x:c>
      <x:c r="J80" s="7" t="n">
        <x:v>9824.12316955251</x:v>
      </x:c>
      <x:c r="K80" s="7" t="n">
        <x:f t="shared" si="4">E80*'修订说明'!$B$2</x:f>
        <x:v>0</x:v>
      </x:c>
      <x:c r="L80" s="7" t="n">
        <x:f t="shared" si="5">B80*K80</x:f>
        <x:v>0</x:v>
      </x:c>
    </x:row>
    <x:row r="81">
      <x:c r="A81" t="s">
        <x:v>81</x:v>
      </x:c>
      <x:c r="B81" s="7" t="n">
        <x:v>0.8416</x:v>
      </x:c>
      <x:c r="C81" s="7" t="n">
        <x:v>5714.6836</x:v>
      </x:c>
      <x:c r="D81" s="7" t="n">
        <x:v>7053.1371</x:v>
      </x:c>
      <x:c r="E81" s="7" t="n">
        <x:v>0</x:v>
      </x:c>
      <x:c r="F81" s="7" t="n">
        <x:v>1338.4534999998966</x:v>
      </x:c>
      <x:c r="G81" s="7" t="n">
        <x:v>0</x:v>
      </x:c>
      <x:c r="H81" s="7" t="n">
        <x:v>0</x:v>
      </x:c>
      <x:c r="I81" s="7" t="n">
        <x:v>9824.12316955251</x:v>
      </x:c>
      <x:c r="J81" s="7" t="n">
        <x:v>10035.75124966372</x:v>
      </x:c>
      <x:c r="K81" s="7" t="n">
        <x:f t="shared" si="4">E81*'修订说明'!$B$2</x:f>
        <x:v>0</x:v>
      </x:c>
      <x:c r="L81" s="7" t="n">
        <x:f t="shared" si="5">B81*K81</x:f>
        <x:v>0</x:v>
      </x:c>
    </x:row>
    <x:row r="82">
      <x:c r="A82" t="s">
        <x:v>82</x:v>
      </x:c>
      <x:c r="B82" s="7" t="n">
        <x:v>0.8618</x:v>
      </x:c>
      <x:c r="C82" s="7" t="n">
        <x:v>5717.8505</x:v>
      </x:c>
      <x:c r="D82" s="7" t="n">
        <x:v>6910.4064</x:v>
      </x:c>
      <x:c r="E82" s="7" t="n">
        <x:v>0</x:v>
      </x:c>
      <x:c r="F82" s="7" t="n">
        <x:v>1192.555899999883</x:v>
      </x:c>
      <x:c r="G82" s="7" t="n">
        <x:v>0</x:v>
      </x:c>
      <x:c r="H82" s="7" t="n">
        <x:v>0</x:v>
      </x:c>
      <x:c r="I82" s="7" t="n">
        <x:v>10035.75124966372</x:v>
      </x:c>
      <x:c r="J82" s="7" t="n">
        <x:v>10224.310893717322</x:v>
      </x:c>
      <x:c r="K82" s="7" t="n">
        <x:f t="shared" si="4">E82*'修订说明'!$B$2</x:f>
        <x:v>0</x:v>
      </x:c>
      <x:c r="L82" s="7" t="n">
        <x:f t="shared" si="5">B82*K82</x:f>
        <x:v>0</x:v>
      </x:c>
    </x:row>
    <x:row r="83">
      <x:c r="A83" t="s">
        <x:v>83</x:v>
      </x:c>
      <x:c r="B83" s="7" t="n">
        <x:v>0.8623</x:v>
      </x:c>
      <x:c r="C83" s="7" t="n">
        <x:v>5708.2486</x:v>
      </x:c>
      <x:c r="D83" s="7" t="n">
        <x:v>6772.4075</x:v>
      </x:c>
      <x:c r="E83" s="7" t="n">
        <x:v>0</x:v>
      </x:c>
      <x:c r="F83" s="7" t="n">
        <x:v>1064.1589000001159</x:v>
      </x:c>
      <x:c r="G83" s="7" t="n">
        <x:v>0</x:v>
      </x:c>
      <x:c r="H83" s="7" t="n">
        <x:v>0</x:v>
      </x:c>
      <x:c r="I83" s="7" t="n">
        <x:v>10224.310893717322</x:v>
      </x:c>
      <x:c r="J83" s="7" t="n">
        <x:v>10392.569189534288</x:v>
      </x:c>
      <x:c r="K83" s="7" t="n">
        <x:f t="shared" si="4">E83*'修订说明'!$B$2</x:f>
        <x:v>0</x:v>
      </x:c>
      <x:c r="L83" s="7" t="n">
        <x:f t="shared" si="5">B83*K83</x:f>
        <x:v>0</x:v>
      </x:c>
    </x:row>
    <x:row r="84">
      <x:c r="A84" t="s">
        <x:v>84</x:v>
      </x:c>
      <x:c r="B84" s="7" t="n">
        <x:v>0.9026</x:v>
      </x:c>
      <x:c r="C84" s="7" t="n">
        <x:v>5696.9182</x:v>
      </x:c>
      <x:c r="D84" s="7" t="n">
        <x:v>6607.36</x:v>
      </x:c>
      <x:c r="E84" s="7" t="n">
        <x:v>0</x:v>
      </x:c>
      <x:c r="F84" s="7" t="n">
        <x:v>910.4417999998888</x:v>
      </x:c>
      <x:c r="G84" s="7" t="n">
        <x:v>0</x:v>
      </x:c>
      <x:c r="H84" s="7" t="n">
        <x:v>0</x:v>
      </x:c>
      <x:c r="I84" s="7" t="n">
        <x:v>10392.569189534288</x:v>
      </x:c>
      <x:c r="J84" s="7" t="n">
        <x:v>10536.522677785464</x:v>
      </x:c>
      <x:c r="K84" s="7" t="n">
        <x:f t="shared" si="4">E84*'修订说明'!$B$2</x:f>
        <x:v>0</x:v>
      </x:c>
      <x:c r="L84" s="7" t="n">
        <x:f t="shared" si="5">B84*K84</x:f>
        <x:v>0</x:v>
      </x:c>
    </x:row>
    <x:row r="85">
      <x:c r="A85" t="s">
        <x:v>85</x:v>
      </x:c>
      <x:c r="B85" s="7" t="n">
        <x:v>0.9754</x:v>
      </x:c>
      <x:c r="C85" s="7" t="n">
        <x:v>5692.2983</x:v>
      </x:c>
      <x:c r="D85" s="7" t="n">
        <x:v>6412.5085</x:v>
      </x:c>
      <x:c r="E85" s="7" t="n">
        <x:v>0</x:v>
      </x:c>
      <x:c r="F85" s="7" t="n">
        <x:v>720.2101999999825</x:v>
      </x:c>
      <x:c r="G85" s="7" t="n">
        <x:v>0</x:v>
      </x:c>
      <x:c r="H85" s="7" t="n">
        <x:v>0</x:v>
      </x:c>
      <x:c r="I85" s="7" t="n">
        <x:v>10536.522677785464</x:v>
      </x:c>
      <x:c r="J85" s="7" t="n">
        <x:v>10650.397909089734</x:v>
      </x:c>
      <x:c r="K85" s="7" t="n">
        <x:f t="shared" si="4">E85*'修订说明'!$B$2</x:f>
        <x:v>0</x:v>
      </x:c>
      <x:c r="L85" s="7" t="n">
        <x:f t="shared" si="5">B85*K85</x:f>
        <x:v>0</x:v>
      </x:c>
    </x:row>
    <x:row r="86">
      <x:c r="A86" t="s">
        <x:v>86</x:v>
      </x:c>
      <x:c r="B86" s="7" t="n">
        <x:v>1.0002</x:v>
      </x:c>
      <x:c r="C86" s="7" t="n">
        <x:v>5687.1291</x:v>
      </x:c>
      <x:c r="D86" s="7" t="n">
        <x:v>6214.0158</x:v>
      </x:c>
      <x:c r="E86" s="7" t="n">
        <x:v>0</x:v>
      </x:c>
      <x:c r="F86" s="7" t="n">
        <x:v>526.8867000000041</x:v>
      </x:c>
      <x:c r="G86" s="7" t="n">
        <x:v>0</x:v>
      </x:c>
      <x:c r="H86" s="7" t="n">
        <x:v>0</x:v>
      </x:c>
      <x:c r="I86" s="7" t="n">
        <x:v>10650.397909089734</x:v>
      </x:c>
      <x:c r="J86" s="7" t="n">
        <x:v>10733.706011132226</x:v>
      </x:c>
      <x:c r="K86" s="7" t="n">
        <x:f t="shared" si="4">E86*'修订说明'!$B$2</x:f>
        <x:v>0</x:v>
      </x:c>
      <x:c r="L86" s="7" t="n">
        <x:f t="shared" si="5">B86*K86</x:f>
        <x:v>0</x:v>
      </x:c>
    </x:row>
    <x:row r="87">
      <x:c r="A87" t="s">
        <x:v>87</x:v>
      </x:c>
      <x:c r="B87" s="7" t="n">
        <x:v>0.9978</x:v>
      </x:c>
      <x:c r="C87" s="7" t="n">
        <x:v>5678.962</x:v>
      </x:c>
      <x:c r="D87" s="7" t="n">
        <x:v>6000.7112</x:v>
      </x:c>
      <x:c r="E87" s="7" t="n">
        <x:v>0</x:v>
      </x:c>
      <x:c r="F87" s="7" t="n">
        <x:v>321.7491999999308</x:v>
      </x:c>
      <x:c r="G87" s="7" t="n">
        <x:v>0</x:v>
      </x:c>
      <x:c r="H87" s="7" t="n">
        <x:v>0</x:v>
      </x:c>
      <x:c r="I87" s="7" t="n">
        <x:v>10733.706011132226</x:v>
      </x:c>
      <x:c r="J87" s="7" t="n">
        <x:v>10784.57902649908</x:v>
      </x:c>
      <x:c r="K87" s="7" t="n">
        <x:f t="shared" si="4">E87*'修订说明'!$B$2</x:f>
        <x:v>0</x:v>
      </x:c>
      <x:c r="L87" s="7" t="n">
        <x:f t="shared" si="5">B87*K87</x:f>
        <x:v>0</x:v>
      </x:c>
    </x:row>
    <x:row r="88">
      <x:c r="A88" t="s">
        <x:v>88</x:v>
      </x:c>
      <x:c r="B88" s="7" t="n">
        <x:v>1.0271</x:v>
      </x:c>
      <x:c r="C88" s="7" t="n">
        <x:v>5669.4508</x:v>
      </x:c>
      <x:c r="D88" s="7" t="n">
        <x:v>5766.9816</x:v>
      </x:c>
      <x:c r="E88" s="7" t="n">
        <x:v>0</x:v>
      </x:c>
      <x:c r="F88" s="7" t="n">
        <x:v>97.53080000003129</x:v>
      </x:c>
      <x:c r="G88" s="7" t="n">
        <x:v>0</x:v>
      </x:c>
      <x:c r="H88" s="7" t="n">
        <x:v>0</x:v>
      </x:c>
      <x:c r="I88" s="7" t="n">
        <x:v>10784.57902649908</x:v>
      </x:c>
      <x:c r="J88" s="7" t="n">
        <x:v>10799.999999999996</x:v>
      </x:c>
      <x:c r="K88" s="7" t="n">
        <x:f t="shared" si="4">E88*'修订说明'!$B$2</x:f>
        <x:v>0</x:v>
      </x:c>
      <x:c r="L88" s="7" t="n">
        <x:f t="shared" si="5">B88*K88</x:f>
        <x:v>0</x:v>
      </x:c>
    </x:row>
    <x:row r="89">
      <x:c r="A89" t="s">
        <x:v>89</x:v>
      </x:c>
      <x:c r="B89" s="7" t="n">
        <x:v>1.0906</x:v>
      </x:c>
      <x:c r="C89" s="7" t="n">
        <x:v>5664.1948</x:v>
      </x:c>
      <x:c r="D89" s="7" t="n">
        <x:v>5521.5066</x:v>
      </x:c>
      <x:c r="E89" s="7" t="n">
        <x:v>142.6882000000005</x:v>
      </x:c>
      <x:c r="F89" s="7" t="n">
        <x:v>0</x:v>
      </x:c>
      <x:c r="G89" s="7" t="n">
        <x:v>0</x:v>
      </x:c>
      <x:c r="H89" s="7" t="n">
        <x:v>0</x:v>
      </x:c>
      <x:c r="I89" s="7" t="n">
        <x:v>10799.999999999996</x:v>
      </x:c>
      <x:c r="J89" s="7" t="n">
        <x:v>10799.999999999998</x:v>
      </x:c>
      <x:c r="K89" s="7" t="n">
        <x:f t="shared" si="4">E89*'修订说明'!$B$2</x:f>
        <x:v>23.78136666666675</x:v>
      </x:c>
      <x:c r="L89" s="7" t="n">
        <x:f t="shared" si="5">B89*K89</x:f>
        <x:v>25.935958486666756</x:v>
      </x:c>
    </x:row>
    <x:row r="90">
      <x:c r="A90" t="s">
        <x:v>90</x:v>
      </x:c>
      <x:c r="B90" s="7" t="n">
        <x:v>0.9376</x:v>
      </x:c>
      <x:c r="C90" s="7" t="n">
        <x:v>5672.7011</x:v>
      </x:c>
      <x:c r="D90" s="7" t="n">
        <x:v>5268.781</x:v>
      </x:c>
      <x:c r="E90" s="7" t="n">
        <x:v>403.9201000000003</x:v>
      </x:c>
      <x:c r="F90" s="7" t="n">
        <x:v>0</x:v>
      </x:c>
      <x:c r="G90" s="7" t="n">
        <x:v>0</x:v>
      </x:c>
      <x:c r="H90" s="7" t="n">
        <x:v>0</x:v>
      </x:c>
      <x:c r="I90" s="7" t="n">
        <x:v>10799.999999999998</x:v>
      </x:c>
      <x:c r="J90" s="7" t="n">
        <x:v>10799.999999999998</x:v>
      </x:c>
      <x:c r="K90" s="7" t="n">
        <x:f t="shared" si="4">E90*'修订说明'!$B$2</x:f>
        <x:v>67.3200166666667</x:v>
      </x:c>
      <x:c r="L90" s="7" t="n">
        <x:f t="shared" si="5">B90*K90</x:f>
        <x:v>63.1192476266667</x:v>
      </x:c>
    </x:row>
    <x:row r="91">
      <x:c r="A91" t="s">
        <x:v>91</x:v>
      </x:c>
      <x:c r="B91" s="7" t="n">
        <x:v>0.6694</x:v>
      </x:c>
      <x:c r="C91" s="7" t="n">
        <x:v>5682.2544</x:v>
      </x:c>
      <x:c r="D91" s="7" t="n">
        <x:v>5009.7152</x:v>
      </x:c>
      <x:c r="E91" s="7" t="n">
        <x:v>672.5392000000002</x:v>
      </x:c>
      <x:c r="F91" s="7" t="n">
        <x:v>0</x:v>
      </x:c>
      <x:c r="G91" s="7" t="n">
        <x:v>0</x:v>
      </x:c>
      <x:c r="H91" s="7" t="n">
        <x:v>0</x:v>
      </x:c>
      <x:c r="I91" s="7" t="n">
        <x:v>10799.999999999998</x:v>
      </x:c>
      <x:c r="J91" s="7" t="n">
        <x:v>10799.999999999998</x:v>
      </x:c>
      <x:c r="K91" s="7" t="n">
        <x:f t="shared" si="4">E91*'修订说明'!$B$2</x:f>
        <x:v>112.0898666666667</x:v>
      </x:c>
      <x:c r="L91" s="7" t="n">
        <x:f t="shared" si="5">B91*K91</x:f>
        <x:v>75.03295674666668</x:v>
      </x:c>
    </x:row>
    <x:row r="92">
      <x:c r="A92" t="s">
        <x:v>92</x:v>
      </x:c>
      <x:c r="B92" s="7" t="n">
        <x:v>0.66</x:v>
      </x:c>
      <x:c r="C92" s="7" t="n">
        <x:v>5669.0195</x:v>
      </x:c>
      <x:c r="D92" s="7" t="n">
        <x:v>4743.4484</x:v>
      </x:c>
      <x:c r="E92" s="7" t="n">
        <x:v>925.5711</x:v>
      </x:c>
      <x:c r="F92" s="7" t="n">
        <x:v>0</x:v>
      </x:c>
      <x:c r="G92" s="7" t="n">
        <x:v>0</x:v>
      </x:c>
      <x:c r="H92" s="7" t="n">
        <x:v>0</x:v>
      </x:c>
      <x:c r="I92" s="7" t="n">
        <x:v>10799.999999999998</x:v>
      </x:c>
      <x:c r="J92" s="7" t="n">
        <x:v>10799.999999999998</x:v>
      </x:c>
      <x:c r="K92" s="7" t="n">
        <x:f t="shared" si="4">E92*'修订说明'!$B$2</x:f>
        <x:v>154.26184999999998</x:v>
      </x:c>
      <x:c r="L92" s="7" t="n">
        <x:f t="shared" si="5">B92*K92</x:f>
        <x:v>101.81282099999999</x:v>
      </x:c>
    </x:row>
    <x:row r="93">
      <x:c r="A93" t="s">
        <x:v>93</x:v>
      </x:c>
      <x:c r="B93" s="7" t="n">
        <x:v>0.7217</x:v>
      </x:c>
      <x:c r="C93" s="7" t="n">
        <x:v>5656.3651</x:v>
      </x:c>
      <x:c r="D93" s="7" t="n">
        <x:v>4471.224</x:v>
      </x:c>
      <x:c r="E93" s="7" t="n">
        <x:v>1185.1410999999998</x:v>
      </x:c>
      <x:c r="F93" s="7" t="n">
        <x:v>0</x:v>
      </x:c>
      <x:c r="G93" s="7" t="n">
        <x:v>0</x:v>
      </x:c>
      <x:c r="H93" s="7" t="n">
        <x:v>0</x:v>
      </x:c>
      <x:c r="I93" s="7" t="n">
        <x:v>10799.999999999998</x:v>
      </x:c>
      <x:c r="J93" s="7" t="n">
        <x:v>10799.999999999998</x:v>
      </x:c>
      <x:c r="K93" s="7" t="n">
        <x:f t="shared" si="4">E93*'修订说明'!$B$2</x:f>
        <x:v>197.52351666666664</x:v>
      </x:c>
      <x:c r="L93" s="7" t="n">
        <x:f t="shared" si="5">B93*K93</x:f>
        <x:v>142.55272197833332</x:v>
      </x:c>
    </x:row>
    <x:row r="94">
      <x:c r="A94" t="s">
        <x:v>94</x:v>
      </x:c>
      <x:c r="B94" s="7" t="n">
        <x:v>0.7308</x:v>
      </x:c>
      <x:c r="C94" s="7" t="n">
        <x:v>5657.0867</x:v>
      </x:c>
      <x:c r="D94" s="7" t="n">
        <x:v>4188.2025</x:v>
      </x:c>
      <x:c r="E94" s="7" t="n">
        <x:v>1468.8841999999995</x:v>
      </x:c>
      <x:c r="F94" s="7" t="n">
        <x:v>0</x:v>
      </x:c>
      <x:c r="G94" s="7" t="n">
        <x:v>0</x:v>
      </x:c>
      <x:c r="H94" s="7" t="n">
        <x:v>0</x:v>
      </x:c>
      <x:c r="I94" s="7" t="n">
        <x:v>10799.999999999998</x:v>
      </x:c>
      <x:c r="J94" s="7" t="n">
        <x:v>10799.999999999998</x:v>
      </x:c>
      <x:c r="K94" s="7" t="n">
        <x:f t="shared" si="4">E94*'修订说明'!$B$2</x:f>
        <x:v>244.81403333333324</x:v>
      </x:c>
      <x:c r="L94" s="7" t="n">
        <x:f t="shared" si="5">B94*K94</x:f>
        <x:v>178.91009555999995</x:v>
      </x:c>
    </x:row>
    <x:row r="95">
      <x:c r="A95" t="s">
        <x:v>95</x:v>
      </x:c>
      <x:c r="B95" s="7" t="n">
        <x:v>0.7534</x:v>
      </x:c>
      <x:c r="C95" s="7" t="n">
        <x:v>5662.6008</x:v>
      </x:c>
      <x:c r="D95" s="7" t="n">
        <x:v>3889.3931</x:v>
      </x:c>
      <x:c r="E95" s="7" t="n">
        <x:v>1773.2076999999983</x:v>
      </x:c>
      <x:c r="F95" s="7" t="n">
        <x:v>0</x:v>
      </x:c>
      <x:c r="G95" s="7" t="n">
        <x:v>0</x:v>
      </x:c>
      <x:c r="H95" s="7" t="n">
        <x:v>0</x:v>
      </x:c>
      <x:c r="I95" s="7" t="n">
        <x:v>10799.999999999998</x:v>
      </x:c>
      <x:c r="J95" s="7" t="n">
        <x:v>10799.999999999998</x:v>
      </x:c>
      <x:c r="K95" s="7" t="n">
        <x:f t="shared" si="4">E95*'修订说明'!$B$2</x:f>
        <x:v>295.53461666666635</x:v>
      </x:c>
      <x:c r="L95" s="7" t="n">
        <x:f t="shared" si="5">B95*K95</x:f>
        <x:v>222.65578019666643</x:v>
      </x:c>
    </x:row>
    <x:row r="96">
      <x:c r="A96" t="s">
        <x:v>96</x:v>
      </x:c>
      <x:c r="B96" s="7" t="n">
        <x:v>0.7823</x:v>
      </x:c>
      <x:c r="C96" s="7" t="n">
        <x:v>5669.2596</x:v>
      </x:c>
      <x:c r="D96" s="7" t="n">
        <x:v>3594.5946</x:v>
      </x:c>
      <x:c r="E96" s="7" t="n">
        <x:v>2074.6650000000004</x:v>
      </x:c>
      <x:c r="F96" s="7" t="n">
        <x:v>0</x:v>
      </x:c>
      <x:c r="G96" s="7" t="n">
        <x:v>0</x:v>
      </x:c>
      <x:c r="H96" s="7" t="n">
        <x:v>0</x:v>
      </x:c>
      <x:c r="I96" s="7" t="n">
        <x:v>10799.999999999998</x:v>
      </x:c>
      <x:c r="J96" s="7" t="n">
        <x:v>10799.999999999998</x:v>
      </x:c>
      <x:c r="K96" s="7" t="n">
        <x:f t="shared" si="4">E96*'修订说明'!$B$2</x:f>
        <x:v>345.77750000000003</x:v>
      </x:c>
      <x:c r="L96" s="7" t="n">
        <x:f t="shared" si="5">B96*K96</x:f>
        <x:v>270.50173825</x:v>
      </x:c>
    </x:row>
    <x:row r="97">
      <x:c r="A97" t="s">
        <x:v>97</x:v>
      </x:c>
      <x:c r="B97" s="7" t="n">
        <x:v>0.8055</x:v>
      </x:c>
      <x:c r="C97" s="7" t="n">
        <x:v>5673.4767</x:v>
      </x:c>
      <x:c r="D97" s="7" t="n">
        <x:v>3303.8878</x:v>
      </x:c>
      <x:c r="E97" s="7" t="n">
        <x:v>2369.5889</x:v>
      </x:c>
      <x:c r="F97" s="7" t="n">
        <x:v>0</x:v>
      </x:c>
      <x:c r="G97" s="7" t="n">
        <x:v>0</x:v>
      </x:c>
      <x:c r="H97" s="7" t="n">
        <x:v>0</x:v>
      </x:c>
      <x:c r="I97" s="7" t="n">
        <x:v>10799.999999999998</x:v>
      </x:c>
      <x:c r="J97" s="7" t="n">
        <x:v>10799.999999999998</x:v>
      </x:c>
      <x:c r="K97" s="7" t="n">
        <x:f t="shared" si="4">E97*'修订说明'!$B$2</x:f>
        <x:v>394.93148333333335</x:v>
      </x:c>
      <x:c r="L97" s="7" t="n">
        <x:f t="shared" si="5">B97*K97</x:f>
        <x:v>318.117309825</x:v>
      </x:c>
    </x:row>
    <x:row r="98">
      <x:c r="A98" t="s">
        <x:v>98</x:v>
      </x:c>
      <x:c r="B98" s="7" t="n">
        <x:v>0.8271</x:v>
      </x:c>
      <x:c r="C98" s="7" t="n">
        <x:v>5671.0146</x:v>
      </x:c>
      <x:c r="D98" s="7" t="n">
        <x:v>2998.4247</x:v>
      </x:c>
      <x:c r="E98" s="7" t="n">
        <x:v>2672.5899</x:v>
      </x:c>
      <x:c r="F98" s="7" t="n">
        <x:v>0</x:v>
      </x:c>
      <x:c r="G98" s="7" t="n">
        <x:v>0</x:v>
      </x:c>
      <x:c r="H98" s="7" t="n">
        <x:v>0</x:v>
      </x:c>
      <x:c r="I98" s="7" t="n">
        <x:v>10799.999999999998</x:v>
      </x:c>
      <x:c r="J98" s="7" t="n">
        <x:v>10799.999999999998</x:v>
      </x:c>
      <x:c r="K98" s="7" t="n">
        <x:f t="shared" ref="K98:K129" si="6">E98*'修订说明'!$B$2</x:f>
        <x:v>445.43165</x:v>
      </x:c>
      <x:c r="L98" s="7" t="n">
        <x:f t="shared" ref="L98:L129" si="7">B98*K98</x:f>
        <x:v>368.41651771499994</x:v>
      </x:c>
    </x:row>
    <x:row r="99">
      <x:c r="A99" t="s">
        <x:v>99</x:v>
      </x:c>
      <x:c r="B99" s="7" t="n">
        <x:v>0.8519</x:v>
      </x:c>
      <x:c r="C99" s="7" t="n">
        <x:v>5661.5926</x:v>
      </x:c>
      <x:c r="D99" s="7" t="n">
        <x:v>2687.4131</x:v>
      </x:c>
      <x:c r="E99" s="7" t="n">
        <x:v>2974.1794999999993</x:v>
      </x:c>
      <x:c r="F99" s="7" t="n">
        <x:v>0</x:v>
      </x:c>
      <x:c r="G99" s="7" t="n">
        <x:v>0</x:v>
      </x:c>
      <x:c r="H99" s="7" t="n">
        <x:v>0</x:v>
      </x:c>
      <x:c r="I99" s="7" t="n">
        <x:v>10799.999999999998</x:v>
      </x:c>
      <x:c r="J99" s="7" t="n">
        <x:v>10799.999999999998</x:v>
      </x:c>
      <x:c r="K99" s="7" t="n">
        <x:f t="shared" si="6">E99*'修订说明'!$B$2</x:f>
        <x:v>495.6965833333332</x:v>
      </x:c>
      <x:c r="L99" s="7" t="n">
        <x:f t="shared" si="7">B99*K99</x:f>
        <x:v>422.28391934166655</x:v>
      </x:c>
    </x:row>
    <x:row r="100">
      <x:c r="A100" t="s">
        <x:v>100</x:v>
      </x:c>
      <x:c r="B100" s="7" t="n">
        <x:v>0.8791</x:v>
      </x:c>
      <x:c r="C100" s="7" t="n">
        <x:v>5665.8922</x:v>
      </x:c>
      <x:c r="D100" s="7" t="n">
        <x:v>2383.1779</x:v>
      </x:c>
      <x:c r="E100" s="7" t="n">
        <x:v>3282.7143000000037</x:v>
      </x:c>
      <x:c r="F100" s="7" t="n">
        <x:v>0</x:v>
      </x:c>
      <x:c r="G100" s="7" t="n">
        <x:v>0</x:v>
      </x:c>
      <x:c r="H100" s="7" t="n">
        <x:v>0</x:v>
      </x:c>
      <x:c r="I100" s="7" t="n">
        <x:v>10799.999999999998</x:v>
      </x:c>
      <x:c r="J100" s="7" t="n">
        <x:v>10799.999999999998</x:v>
      </x:c>
      <x:c r="K100" s="7" t="n">
        <x:f t="shared" si="6">E100*'修订说明'!$B$2</x:f>
        <x:v>547.1190500000006</x:v>
      </x:c>
      <x:c r="L100" s="7" t="n">
        <x:f t="shared" si="7">B100*K100</x:f>
        <x:v>480.9723568550005</x:v>
      </x:c>
    </x:row>
    <x:row r="101">
      <x:c r="A101" t="s">
        <x:v>101</x:v>
      </x:c>
      <x:c r="B101" s="7" t="n">
        <x:v>0.9024</x:v>
      </x:c>
      <x:c r="C101" s="7" t="n">
        <x:v>5689.0372</x:v>
      </x:c>
      <x:c r="D101" s="7" t="n">
        <x:v>2089.1246</x:v>
      </x:c>
      <x:c r="E101" s="7" t="n">
        <x:v>3599.9126000000033</x:v>
      </x:c>
      <x:c r="F101" s="7" t="n">
        <x:v>0</x:v>
      </x:c>
      <x:c r="G101" s="7" t="n">
        <x:v>0</x:v>
      </x:c>
      <x:c r="H101" s="7" t="n">
        <x:v>0</x:v>
      </x:c>
      <x:c r="I101" s="7" t="n">
        <x:v>10799.999999999998</x:v>
      </x:c>
      <x:c r="J101" s="7" t="n">
        <x:v>10799.999999999998</x:v>
      </x:c>
      <x:c r="K101" s="7" t="n">
        <x:f t="shared" si="6">E101*'修订说明'!$B$2</x:f>
        <x:v>599.9854333333338</x:v>
      </x:c>
      <x:c r="L101" s="7" t="n">
        <x:f t="shared" si="7">B101*K101</x:f>
        <x:v>541.4268550400004</x:v>
      </x:c>
    </x:row>
    <x:row r="102">
      <x:c r="A102" t="s">
        <x:v>102</x:v>
      </x:c>
      <x:c r="B102" s="7" t="n">
        <x:v>0.9163</x:v>
      </x:c>
      <x:c r="C102" s="7" t="n">
        <x:v>5603.6614</x:v>
      </x:c>
      <x:c r="D102" s="7" t="n">
        <x:v>1791.0829</x:v>
      </x:c>
      <x:c r="E102" s="7" t="n">
        <x:v>3812.578499999999</x:v>
      </x:c>
      <x:c r="F102" s="7" t="n">
        <x:v>0</x:v>
      </x:c>
      <x:c r="G102" s="7" t="n">
        <x:v>0</x:v>
      </x:c>
      <x:c r="H102" s="7" t="n">
        <x:v>0</x:v>
      </x:c>
      <x:c r="I102" s="7" t="n">
        <x:v>10799.999999999998</x:v>
      </x:c>
      <x:c r="J102" s="7" t="n">
        <x:v>10799.999999999998</x:v>
      </x:c>
      <x:c r="K102" s="7" t="n">
        <x:f t="shared" si="6">E102*'修订说明'!$B$2</x:f>
        <x:v>635.4297499999998</x:v>
      </x:c>
      <x:c r="L102" s="7" t="n">
        <x:f t="shared" si="7">B102*K102</x:f>
        <x:v>582.2442799249998</x:v>
      </x:c>
    </x:row>
    <x:row r="103">
      <x:c r="A103" t="s">
        <x:v>103</x:v>
      </x:c>
      <x:c r="B103" s="7" t="n">
        <x:v>0.9264</x:v>
      </x:c>
      <x:c r="C103" s="7" t="n">
        <x:v>5466.7124</x:v>
      </x:c>
      <x:c r="D103" s="7" t="n">
        <x:v>1501.7283</x:v>
      </x:c>
      <x:c r="E103" s="7" t="n">
        <x:v>3964.9841000000006</x:v>
      </x:c>
      <x:c r="F103" s="7" t="n">
        <x:v>0</x:v>
      </x:c>
      <x:c r="G103" s="7" t="n">
        <x:v>0</x:v>
      </x:c>
      <x:c r="H103" s="7" t="n">
        <x:v>0</x:v>
      </x:c>
      <x:c r="I103" s="7" t="n">
        <x:v>10799.999999999998</x:v>
      </x:c>
      <x:c r="J103" s="7" t="n">
        <x:v>10799.999999999998</x:v>
      </x:c>
      <x:c r="K103" s="7" t="n">
        <x:f t="shared" si="6">E103*'修订说明'!$B$2</x:f>
        <x:v>660.8306833333334</x:v>
      </x:c>
      <x:c r="L103" s="7" t="n">
        <x:f t="shared" si="7">B103*K103</x:f>
        <x:v>612.19354504</x:v>
      </x:c>
    </x:row>
    <x:row r="104">
      <x:c r="A104" t="s">
        <x:v>104</x:v>
      </x:c>
      <x:c r="B104" s="7" t="n">
        <x:v>0.9462</x:v>
      </x:c>
      <x:c r="C104" s="7" t="n">
        <x:v>5467.3939</x:v>
      </x:c>
      <x:c r="D104" s="7" t="n">
        <x:v>1255.1723</x:v>
      </x:c>
      <x:c r="E104" s="7" t="n">
        <x:v>4212.2216</x:v>
      </x:c>
      <x:c r="F104" s="7" t="n">
        <x:v>0</x:v>
      </x:c>
      <x:c r="G104" s="7" t="n">
        <x:v>0</x:v>
      </x:c>
      <x:c r="H104" s="7" t="n">
        <x:v>0</x:v>
      </x:c>
      <x:c r="I104" s="7" t="n">
        <x:v>10799.999999999998</x:v>
      </x:c>
      <x:c r="J104" s="7" t="n">
        <x:v>10799.999999999998</x:v>
      </x:c>
      <x:c r="K104" s="7" t="n">
        <x:f t="shared" si="6">E104*'修订说明'!$B$2</x:f>
        <x:v>702.0369333333333</x:v>
      </x:c>
      <x:c r="L104" s="7" t="n">
        <x:f t="shared" si="7">B104*K104</x:f>
        <x:v>664.26734632</x:v>
      </x:c>
    </x:row>
    <x:row r="105">
      <x:c r="A105" t="s">
        <x:v>105</x:v>
      </x:c>
      <x:c r="B105" s="7" t="n">
        <x:v>0.9742</x:v>
      </x:c>
      <x:c r="C105" s="7" t="n">
        <x:v>5464.727</x:v>
      </x:c>
      <x:c r="D105" s="7" t="n">
        <x:v>1036.3323</x:v>
      </x:c>
      <x:c r="E105" s="7" t="n">
        <x:v>4428.394699999999</x:v>
      </x:c>
      <x:c r="F105" s="7" t="n">
        <x:v>0</x:v>
      </x:c>
      <x:c r="G105" s="7" t="n">
        <x:v>0</x:v>
      </x:c>
      <x:c r="H105" s="7" t="n">
        <x:v>0</x:v>
      </x:c>
      <x:c r="I105" s="7" t="n">
        <x:v>10799.999999999998</x:v>
      </x:c>
      <x:c r="J105" s="7" t="n">
        <x:v>10799.999999999998</x:v>
      </x:c>
      <x:c r="K105" s="7" t="n">
        <x:f t="shared" si="6">E105*'修订说明'!$B$2</x:f>
        <x:v>738.0657833333331</x:v>
      </x:c>
      <x:c r="L105" s="7" t="n">
        <x:f t="shared" si="7">B105*K105</x:f>
        <x:v>719.023686123333</x:v>
      </x:c>
    </x:row>
    <x:row r="106">
      <x:c r="A106" t="s">
        <x:v>106</x:v>
      </x:c>
      <x:c r="B106" s="7" t="n">
        <x:v>0.9862</x:v>
      </x:c>
      <x:c r="C106" s="7" t="n">
        <x:v>5492.4458</x:v>
      </x:c>
      <x:c r="D106" s="7" t="n">
        <x:v>836.7775</x:v>
      </x:c>
      <x:c r="E106" s="7" t="n">
        <x:v>4655.668299999999</x:v>
      </x:c>
      <x:c r="F106" s="7" t="n">
        <x:v>0</x:v>
      </x:c>
      <x:c r="G106" s="7" t="n">
        <x:v>0</x:v>
      </x:c>
      <x:c r="H106" s="7" t="n">
        <x:v>0</x:v>
      </x:c>
      <x:c r="I106" s="7" t="n">
        <x:v>10799.999999999998</x:v>
      </x:c>
      <x:c r="J106" s="7" t="n">
        <x:v>10799.999999999998</x:v>
      </x:c>
      <x:c r="K106" s="7" t="n">
        <x:f t="shared" si="6">E106*'修订说明'!$B$2</x:f>
        <x:v>775.9447166666665</x:v>
      </x:c>
      <x:c r="L106" s="7" t="n">
        <x:f t="shared" si="7">B106*K106</x:f>
        <x:v>765.2366795766665</x:v>
      </x:c>
    </x:row>
    <x:row r="107">
      <x:c r="A107" t="s">
        <x:v>107</x:v>
      </x:c>
      <x:c r="B107" s="7" t="n">
        <x:v>0.976</x:v>
      </x:c>
      <x:c r="C107" s="7" t="n">
        <x:v>5621.7308</x:v>
      </x:c>
      <x:c r="D107" s="7" t="n">
        <x:v>665.2313</x:v>
      </x:c>
      <x:c r="E107" s="7" t="n">
        <x:v>4956.4995</x:v>
      </x:c>
      <x:c r="F107" s="7" t="n">
        <x:v>0</x:v>
      </x:c>
      <x:c r="G107" s="7" t="n">
        <x:v>0</x:v>
      </x:c>
      <x:c r="H107" s="7" t="n">
        <x:v>0</x:v>
      </x:c>
      <x:c r="I107" s="7" t="n">
        <x:v>10799.999999999998</x:v>
      </x:c>
      <x:c r="J107" s="7" t="n">
        <x:v>10799.999999999998</x:v>
      </x:c>
      <x:c r="K107" s="7" t="n">
        <x:f t="shared" si="6">E107*'修订说明'!$B$2</x:f>
        <x:v>826.0832499999999</x:v>
      </x:c>
      <x:c r="L107" s="7" t="n">
        <x:f t="shared" si="7">B107*K107</x:f>
        <x:v>806.2572519999999</x:v>
      </x:c>
    </x:row>
    <x:row r="108">
      <x:c r="A108" t="s">
        <x:v>108</x:v>
      </x:c>
      <x:c r="B108" s="7" t="n">
        <x:v>1.0742</x:v>
      </x:c>
      <x:c r="C108" s="7" t="n">
        <x:v>5091.2126</x:v>
      </x:c>
      <x:c r="D108" s="7" t="n">
        <x:v>516.6758</x:v>
      </x:c>
      <x:c r="E108" s="7" t="n">
        <x:v>4574.536800000007</x:v>
      </x:c>
      <x:c r="F108" s="7" t="n">
        <x:v>0</x:v>
      </x:c>
      <x:c r="G108" s="7" t="n">
        <x:v>0</x:v>
      </x:c>
      <x:c r="H108" s="7" t="n">
        <x:v>0</x:v>
      </x:c>
      <x:c r="I108" s="7" t="n">
        <x:v>10799.999999999998</x:v>
      </x:c>
      <x:c r="J108" s="7" t="n">
        <x:v>10800</x:v>
      </x:c>
      <x:c r="K108" s="7" t="n">
        <x:f t="shared" si="6">E108*'修订说明'!$B$2</x:f>
        <x:v>762.4228000000012</x:v>
      </x:c>
      <x:c r="L108" s="7" t="n">
        <x:f t="shared" si="7">B108*K108</x:f>
        <x:v>818.9945717600013</x:v>
      </x:c>
    </x:row>
    <x:row r="109">
      <x:c r="A109" t="s">
        <x:v>109</x:v>
      </x:c>
      <x:c r="B109" s="7" t="n">
        <x:v>1.2313</x:v>
      </x:c>
      <x:c r="C109" s="7" t="n">
        <x:v>4208.5688</x:v>
      </x:c>
      <x:c r="D109" s="7" t="n">
        <x:v>386.6731</x:v>
      </x:c>
      <x:c r="E109" s="7" t="n">
        <x:v>3821.8957</x:v>
      </x:c>
      <x:c r="F109" s="7" t="n">
        <x:v>0</x:v>
      </x:c>
      <x:c r="G109" s="7" t="n">
        <x:v>0</x:v>
      </x:c>
      <x:c r="H109" s="7" t="n">
        <x:v>0</x:v>
      </x:c>
      <x:c r="I109" s="7" t="n">
        <x:v>10800</x:v>
      </x:c>
      <x:c r="J109" s="7" t="n">
        <x:v>10800</x:v>
      </x:c>
      <x:c r="K109" s="7" t="n">
        <x:f t="shared" si="6">E109*'修订说明'!$B$2</x:f>
        <x:v>636.9826166666667</x:v>
      </x:c>
      <x:c r="L109" s="7" t="n">
        <x:f t="shared" si="7">B109*K109</x:f>
        <x:v>784.3166959016667</x:v>
      </x:c>
    </x:row>
    <x:row r="110">
      <x:c r="A110" t="s">
        <x:v>110</x:v>
      </x:c>
      <x:c r="B110" s="7" t="n">
        <x:v>1.2561</x:v>
      </x:c>
      <x:c r="C110" s="7" t="n">
        <x:v>4122.7611</x:v>
      </x:c>
      <x:c r="D110" s="7" t="n">
        <x:v>275.7933</x:v>
      </x:c>
      <x:c r="E110" s="7" t="n">
        <x:v>3731.1012726492063</x:v>
      </x:c>
      <x:c r="F110" s="7" t="n">
        <x:v>0</x:v>
      </x:c>
      <x:c r="G110" s="7" t="n">
        <x:v>115.86652735085832</x:v>
      </x:c>
      <x:c r="H110" s="7" t="n">
        <x:v>0</x:v>
      </x:c>
      <x:c r="I110" s="7" t="n">
        <x:v>10800</x:v>
      </x:c>
      <x:c r="J110" s="7" t="n">
        <x:v>10779.644326055404</x:v>
      </x:c>
      <x:c r="K110" s="7" t="n">
        <x:f t="shared" si="6">E110*'修订说明'!$B$2</x:f>
        <x:v>621.850212108201</x:v>
      </x:c>
      <x:c r="L110" s="7" t="n">
        <x:f t="shared" si="7">B110*K110</x:f>
        <x:v>781.1060514291113</x:v>
      </x:c>
    </x:row>
    <x:row r="111">
      <x:c r="A111" t="s">
        <x:v>111</x:v>
      </x:c>
      <x:c r="B111" s="7" t="n">
        <x:v>1.2447</x:v>
      </x:c>
      <x:c r="C111" s="7" t="n">
        <x:v>4255.9358</x:v>
      </x:c>
      <x:c r="D111" s="7" t="n">
        <x:v>182.9526</x:v>
      </x:c>
      <x:c r="E111" s="7" t="n">
        <x:v>2957.1166726492047</x:v>
      </x:c>
      <x:c r="F111" s="7" t="n">
        <x:v>0</x:v>
      </x:c>
      <x:c r="G111" s="7" t="n">
        <x:v>1115.8665273507306</x:v>
      </x:c>
      <x:c r="H111" s="7" t="n">
        <x:v>0</x:v>
      </x:c>
      <x:c r="I111" s="7" t="n">
        <x:v>10779.644326055404</x:v>
      </x:c>
      <x:c r="J111" s="7" t="n">
        <x:v>10583.606559879234</x:v>
      </x:c>
      <x:c r="K111" s="7" t="n">
        <x:f t="shared" si="6">E111*'修订说明'!$B$2</x:f>
        <x:v>492.85277877486743</x:v>
      </x:c>
      <x:c r="L111" s="7" t="n">
        <x:f t="shared" si="7">B111*K111</x:f>
        <x:v>613.4538537410774</x:v>
      </x:c>
    </x:row>
    <x:row r="112">
      <x:c r="A112" t="s">
        <x:v>112</x:v>
      </x:c>
      <x:c r="B112" s="7" t="n">
        <x:v>1.2545</x:v>
      </x:c>
      <x:c r="C112" s="7" t="n">
        <x:v>4225.9524</x:v>
      </x:c>
      <x:c r="D112" s="7" t="n">
        <x:v>108.3414</x:v>
      </x:c>
      <x:c r="E112" s="7" t="n">
        <x:v>2001.7444726492008</x:v>
      </x:c>
      <x:c r="F112" s="7" t="n">
        <x:v>0</x:v>
      </x:c>
      <x:c r="G112" s="7" t="n">
        <x:v>2115.8665273507895</x:v>
      </x:c>
      <x:c r="H112" s="7" t="n">
        <x:v>0</x:v>
      </x:c>
      <x:c r="I112" s="7" t="n">
        <x:v>10583.606559879234</x:v>
      </x:c>
      <x:c r="J112" s="7" t="n">
        <x:v>10211.886701471485</x:v>
      </x:c>
      <x:c r="K112" s="7" t="n">
        <x:f t="shared" si="6">E112*'修订说明'!$B$2</x:f>
        <x:v>333.6240787748668</x:v>
      </x:c>
      <x:c r="L112" s="7" t="n">
        <x:f t="shared" si="7">B112*K112</x:f>
        <x:v>418.53140682307037</x:v>
      </x:c>
    </x:row>
    <x:row r="113">
      <x:c r="A113" t="s">
        <x:v>113</x:v>
      </x:c>
      <x:c r="B113" s="7" t="n">
        <x:v>1.2522</x:v>
      </x:c>
      <x:c r="C113" s="7" t="n">
        <x:v>4233.3384</x:v>
      </x:c>
      <x:c r="D113" s="7" t="n">
        <x:v>54.3121</x:v>
      </x:c>
      <x:c r="E113" s="7" t="n">
        <x:v>1063.1597726492037</x:v>
      </x:c>
      <x:c r="F113" s="7" t="n">
        <x:v>0</x:v>
      </x:c>
      <x:c r="G113" s="7" t="n">
        <x:v>3115.8665273508086</x:v>
      </x:c>
      <x:c r="H113" s="7" t="n">
        <x:v>0</x:v>
      </x:c>
      <x:c r="I113" s="7" t="n">
        <x:v>10211.886701471485</x:v>
      </x:c>
      <x:c r="J113" s="7" t="n">
        <x:v>9664.48475083216</x:v>
      </x:c>
      <x:c r="K113" s="7" t="n">
        <x:f t="shared" si="6">E113*'修订说明'!$B$2</x:f>
        <x:v>177.19329544153393</x:v>
      </x:c>
      <x:c r="L113" s="7" t="n">
        <x:f t="shared" si="7">B113*K113</x:f>
        <x:v>221.8814445518888</x:v>
      </x:c>
    </x:row>
    <x:row r="114">
      <x:c r="A114" t="s">
        <x:v>114</x:v>
      </x:c>
      <x:c r="B114" s="7" t="n">
        <x:v>1.2881</x:v>
      </x:c>
      <x:c r="C114" s="7" t="n">
        <x:v>4246.4625</x:v>
      </x:c>
      <x:c r="D114" s="7" t="n">
        <x:v>18.6569</x:v>
      </x:c>
      <x:c r="E114" s="7" t="n">
        <x:v>111.93907264920381</x:v>
      </x:c>
      <x:c r="F114" s="7" t="n">
        <x:v>0</x:v>
      </x:c>
      <x:c r="G114" s="7" t="n">
        <x:v>4115.8665273509005</x:v>
      </x:c>
      <x:c r="H114" s="7" t="n">
        <x:v>0</x:v>
      </x:c>
      <x:c r="I114" s="7" t="n">
        <x:v>9664.48475083216</x:v>
      </x:c>
      <x:c r="J114" s="7" t="n">
        <x:v>8941.400707961257</x:v>
      </x:c>
      <x:c r="K114" s="7" t="n">
        <x:f t="shared" si="6">E114*'修订说明'!$B$2</x:f>
        <x:v>18.656512108200634</x:v>
      </x:c>
      <x:c r="L114" s="7" t="n">
        <x:f t="shared" si="7">B114*K114</x:f>
        <x:v>24.031453246573236</x:v>
      </x:c>
    </x:row>
    <x:row r="115">
      <x:c r="A115" t="s">
        <x:v>115</x:v>
      </x:c>
      <x:c r="B115" s="7" t="n">
        <x:v>1.3466</x:v>
      </x:c>
      <x:c r="C115" s="7" t="n">
        <x:v>4239.1795</x:v>
      </x:c>
      <x:c r="D115" s="7" t="n">
        <x:v>0.2753</x:v>
      </x:c>
      <x:c r="E115" s="7" t="n">
        <x:v>0</x:v>
      </x:c>
      <x:c r="F115" s="7" t="n">
        <x:v>0</x:v>
      </x:c>
      <x:c r="G115" s="7" t="n">
        <x:v>4238.904200000019</x:v>
      </x:c>
      <x:c r="H115" s="7" t="n">
        <x:v>0</x:v>
      </x:c>
      <x:c r="I115" s="7" t="n">
        <x:v>8941.400707961257</x:v>
      </x:c>
      <x:c r="J115" s="7" t="n">
        <x:v>8196.701149336039</x:v>
      </x:c>
      <x:c r="K115" s="7" t="n">
        <x:f t="shared" si="6">E115*'修订说明'!$B$2</x:f>
        <x:v>0</x:v>
      </x:c>
      <x:c r="L115" s="7" t="n">
        <x:f t="shared" si="7">B115*K115</x:f>
        <x:v>0</x:v>
      </x:c>
    </x:row>
    <x:row r="116">
      <x:c r="A116" t="s">
        <x:v>116</x:v>
      </x:c>
      <x:c r="B116" s="7" t="n">
        <x:v>1.3523</x:v>
      </x:c>
      <x:c r="C116" s="7" t="n">
        <x:v>4244.6684</x:v>
      </x:c>
      <x:c r="D116" s="7" t="n">
        <x:v>0.2296</x:v>
      </x:c>
      <x:c r="E116" s="7" t="n">
        <x:v>0</x:v>
      </x:c>
      <x:c r="F116" s="7" t="n">
        <x:v>0</x:v>
      </x:c>
      <x:c r="G116" s="7" t="n">
        <x:v>4244.438799999954</x:v>
      </x:c>
      <x:c r="H116" s="7" t="n">
        <x:v>0</x:v>
      </x:c>
      <x:c r="I116" s="7" t="n">
        <x:v>8196.701149336039</x:v>
      </x:c>
      <x:c r="J116" s="7" t="n">
        <x:v>7451.029260603157</x:v>
      </x:c>
      <x:c r="K116" s="7" t="n">
        <x:f t="shared" si="6">E116*'修订说明'!$B$2</x:f>
        <x:v>0</x:v>
      </x:c>
      <x:c r="L116" s="7" t="n">
        <x:f t="shared" si="7">B116*K116</x:f>
        <x:v>0</x:v>
      </x:c>
    </x:row>
    <x:row r="117">
      <x:c r="A117" t="s">
        <x:v>117</x:v>
      </x:c>
      <x:c r="B117" s="7" t="n">
        <x:v>1.3445</x:v>
      </x:c>
      <x:c r="C117" s="7" t="n">
        <x:v>4251.9187</x:v>
      </x:c>
      <x:c r="D117" s="7" t="n">
        <x:v>0.6007</x:v>
      </x:c>
      <x:c r="E117" s="7" t="n">
        <x:v>0</x:v>
      </x:c>
      <x:c r="F117" s="7" t="n">
        <x:v>0</x:v>
      </x:c>
      <x:c r="G117" s="7" t="n">
        <x:v>4251.318000000068</x:v>
      </x:c>
      <x:c r="H117" s="7" t="n">
        <x:v>0</x:v>
      </x:c>
      <x:c r="I117" s="7" t="n">
        <x:v>7451.029260603157</x:v>
      </x:c>
      <x:c r="J117" s="7" t="n">
        <x:v>6704.148819621394</x:v>
      </x:c>
      <x:c r="K117" s="7" t="n">
        <x:f t="shared" si="6">E117*'修订说明'!$B$2</x:f>
        <x:v>0</x:v>
      </x:c>
      <x:c r="L117" s="7" t="n">
        <x:f t="shared" si="7">B117*K117</x:f>
        <x:v>0</x:v>
      </x:c>
    </x:row>
    <x:row r="118">
      <x:c r="A118" t="s">
        <x:v>118</x:v>
      </x:c>
      <x:c r="B118" s="7" t="n">
        <x:v>1.3483</x:v>
      </x:c>
      <x:c r="C118" s="7" t="n">
        <x:v>4256.6813</x:v>
      </x:c>
      <x:c r="D118" s="7" t="n">
        <x:v>0</x:v>
      </x:c>
      <x:c r="E118" s="7" t="n">
        <x:v>0</x:v>
      </x:c>
      <x:c r="F118" s="7" t="n">
        <x:v>0</x:v>
      </x:c>
      <x:c r="G118" s="7" t="n">
        <x:v>4256.681299999983</x:v>
      </x:c>
      <x:c r="H118" s="7" t="n">
        <x:v>0</x:v>
      </x:c>
      <x:c r="I118" s="7" t="n">
        <x:v>6704.148819621394</x:v>
      </x:c>
      <x:c r="J118" s="7" t="n">
        <x:v>5956.326142874366</x:v>
      </x:c>
      <x:c r="K118" s="7" t="n">
        <x:f t="shared" si="6">E118*'修订说明'!$B$2</x:f>
        <x:v>0</x:v>
      </x:c>
      <x:c r="L118" s="7" t="n">
        <x:f t="shared" si="7">B118*K118</x:f>
        <x:v>0</x:v>
      </x:c>
    </x:row>
    <x:row r="119">
      <x:c r="A119" t="s">
        <x:v>119</x:v>
      </x:c>
      <x:c r="B119" s="7" t="n">
        <x:v>1.349</x:v>
      </x:c>
      <x:c r="C119" s="7" t="n">
        <x:v>4267.3947</x:v>
      </x:c>
      <x:c r="D119" s="7" t="n">
        <x:v>0</x:v>
      </x:c>
      <x:c r="E119" s="7" t="n">
        <x:v>0</x:v>
      </x:c>
      <x:c r="F119" s="7" t="n">
        <x:v>0</x:v>
      </x:c>
      <x:c r="G119" s="7" t="n">
        <x:v>4267.39470000005</x:v>
      </x:c>
      <x:c r="H119" s="7" t="n">
        <x:v>0</x:v>
      </x:c>
      <x:c r="I119" s="7" t="n">
        <x:v>5956.326142874366</x:v>
      </x:c>
      <x:c r="J119" s="7" t="n">
        <x:v>5206.621313600424</x:v>
      </x:c>
      <x:c r="K119" s="7" t="n">
        <x:f t="shared" si="6">E119*'修订说明'!$B$2</x:f>
        <x:v>0</x:v>
      </x:c>
      <x:c r="L119" s="7" t="n">
        <x:f t="shared" si="7">B119*K119</x:f>
        <x:v>0</x:v>
      </x:c>
    </x:row>
    <x:row r="120">
      <x:c r="A120" t="s">
        <x:v>120</x:v>
      </x:c>
      <x:c r="B120" s="7" t="n">
        <x:v>1.3473</x:v>
      </x:c>
      <x:c r="C120" s="7" t="n">
        <x:v>4269.975</x:v>
      </x:c>
      <x:c r="D120" s="7" t="n">
        <x:v>0</x:v>
      </x:c>
      <x:c r="E120" s="7" t="n">
        <x:v>1.304800000000796</x:v>
      </x:c>
      <x:c r="F120" s="7" t="n">
        <x:v>0</x:v>
      </x:c>
      <x:c r="G120" s="7" t="n">
        <x:v>4268.670199999955</x:v>
      </x:c>
      <x:c r="H120" s="7" t="n">
        <x:v>0</x:v>
      </x:c>
      <x:c r="I120" s="7" t="n">
        <x:v>5206.621313600424</x:v>
      </x:c>
      <x:c r="J120" s="7" t="n">
        <x:v>4456.692401817842</x:v>
      </x:c>
      <x:c r="K120" s="7" t="n">
        <x:f t="shared" si="6">E120*'修订说明'!$B$2</x:f>
        <x:v>0.2174666666667993</x:v>
      </x:c>
      <x:c r="L120" s="7" t="n">
        <x:f t="shared" si="7">B120*K120</x:f>
        <x:v>0.2929928400001787</x:v>
      </x:c>
    </x:row>
    <x:row r="121">
      <x:c r="A121" t="s">
        <x:v>121</x:v>
      </x:c>
      <x:c r="B121" s="7" t="n">
        <x:v>1.3482</x:v>
      </x:c>
      <x:c r="C121" s="7" t="n">
        <x:v>4268.6702</x:v>
      </x:c>
      <x:c r="D121" s="7" t="n">
        <x:v>0</x:v>
      </x:c>
      <x:c r="E121" s="7" t="n">
        <x:v>0</x:v>
      </x:c>
      <x:c r="F121" s="7" t="n">
        <x:v>0</x:v>
      </x:c>
      <x:c r="G121" s="7" t="n">
        <x:v>4268.6702000000205</x:v>
      </x:c>
      <x:c r="H121" s="7" t="n">
        <x:v>0</x:v>
      </x:c>
      <x:c r="I121" s="7" t="n">
        <x:v>4456.692401817842</x:v>
      </x:c>
      <x:c r="J121" s="7" t="n">
        <x:v>3706.7634900352596</x:v>
      </x:c>
      <x:c r="K121" s="7" t="n">
        <x:f t="shared" si="6">E121*'修订说明'!$B$2</x:f>
        <x:v>0</x:v>
      </x:c>
      <x:c r="L121" s="7" t="n">
        <x:f t="shared" si="7">B121*K121</x:f>
        <x:v>0</x:v>
      </x:c>
    </x:row>
    <x:row r="122">
      <x:c r="A122" t="s">
        <x:v>122</x:v>
      </x:c>
      <x:c r="B122" s="7" t="n">
        <x:v>1.3513</x:v>
      </x:c>
      <x:c r="C122" s="7" t="n">
        <x:v>4282.2245</x:v>
      </x:c>
      <x:c r="D122" s="7" t="n">
        <x:v>0</x:v>
      </x:c>
      <x:c r="E122" s="7" t="n">
        <x:v>13.476569044392114</x:v>
      </x:c>
      <x:c r="F122" s="7" t="n">
        <x:v>0</x:v>
      </x:c>
      <x:c r="G122" s="7" t="n">
        <x:v>4268.747930955336</x:v>
      </x:c>
      <x:c r="H122" s="7" t="n">
        <x:v>0</x:v>
      </x:c>
      <x:c r="I122" s="7" t="n">
        <x:v>3706.7634900352596</x:v>
      </x:c>
      <x:c r="J122" s="7" t="n">
        <x:v>2956.820922315769</x:v>
      </x:c>
      <x:c r="K122" s="7" t="n">
        <x:f t="shared" si="6">E122*'修订说明'!$B$2</x:f>
        <x:v>2.246094840732019</x:v>
      </x:c>
      <x:c r="L122" s="7" t="n">
        <x:f t="shared" si="7">B122*K122</x:f>
        <x:v>3.035147958281177</x:v>
      </x:c>
    </x:row>
    <x:row r="123">
      <x:c r="A123" t="s">
        <x:v>123</x:v>
      </x:c>
      <x:c r="B123" s="7" t="n">
        <x:v>1.34</x:v>
      </x:c>
      <x:c r="C123" s="7" t="n">
        <x:v>4291.7049</x:v>
      </x:c>
      <x:c r="D123" s="7" t="n">
        <x:v>0</x:v>
      </x:c>
      <x:c r="E123" s="7" t="n">
        <x:v>291.70489999999654</x:v>
      </x:c>
      <x:c r="F123" s="7" t="n">
        <x:v>0</x:v>
      </x:c>
      <x:c r="G123" s="7" t="n">
        <x:v>4000.000000000018</x:v>
      </x:c>
      <x:c r="H123" s="7" t="n">
        <x:v>0</x:v>
      </x:c>
      <x:c r="I123" s="7" t="n">
        <x:v>2956.820922315769</x:v>
      </x:c>
      <x:c r="J123" s="7" t="n">
        <x:v>2254.092553389462</x:v>
      </x:c>
      <x:c r="K123" s="7" t="n">
        <x:f t="shared" si="6">E123*'修订说明'!$B$2</x:f>
        <x:v>48.61748333333276</x:v>
      </x:c>
      <x:c r="L123" s="7" t="n">
        <x:f t="shared" si="7">B123*K123</x:f>
        <x:v>65.1474276666659</x:v>
      </x:c>
    </x:row>
    <x:row r="124">
      <x:c r="A124" t="s">
        <x:v>124</x:v>
      </x:c>
      <x:c r="B124" s="7" t="n">
        <x:v>1.3489</x:v>
      </x:c>
      <x:c r="C124" s="7" t="n">
        <x:v>4291.3611</x:v>
      </x:c>
      <x:c r="D124" s="7" t="n">
        <x:v>0</x:v>
      </x:c>
      <x:c r="E124" s="7" t="n">
        <x:v>1291.361099999997</x:v>
      </x:c>
      <x:c r="F124" s="7" t="n">
        <x:v>0</x:v>
      </x:c>
      <x:c r="G124" s="7" t="n">
        <x:v>3000.0000000000064</x:v>
      </x:c>
      <x:c r="H124" s="7" t="n">
        <x:v>0</x:v>
      </x:c>
      <x:c r="I124" s="7" t="n">
        <x:v>2254.092553389462</x:v>
      </x:c>
      <x:c r="J124" s="7" t="n">
        <x:v>1727.0462766947317</x:v>
      </x:c>
      <x:c r="K124" s="7" t="n">
        <x:f t="shared" si="6">E124*'修订说明'!$B$2</x:f>
        <x:v>215.22684999999947</x:v>
      </x:c>
      <x:c r="L124" s="7" t="n">
        <x:f t="shared" si="7">B124*K124</x:f>
        <x:v>290.3194979649993</x:v>
      </x:c>
    </x:row>
    <x:row r="125">
      <x:c r="A125" t="s">
        <x:v>125</x:v>
      </x:c>
      <x:c r="B125" s="7" t="n">
        <x:v>1.3952</x:v>
      </x:c>
      <x:c r="C125" s="7" t="n">
        <x:v>4293.9182</x:v>
      </x:c>
      <x:c r="D125" s="7" t="n">
        <x:v>0</x:v>
      </x:c>
      <x:c r="E125" s="7" t="n">
        <x:v>2293.918199999997</x:v>
      </x:c>
      <x:c r="F125" s="7" t="n">
        <x:v>0</x:v>
      </x:c>
      <x:c r="G125" s="7" t="n">
        <x:v>1999.999999999999</x:v>
      </x:c>
      <x:c r="H125" s="7" t="n">
        <x:v>0</x:v>
      </x:c>
      <x:c r="I125" s="7" t="n">
        <x:v>1727.0462766947317</x:v>
      </x:c>
      <x:c r="J125" s="7" t="n">
        <x:v>1375.6820922315778</x:v>
      </x:c>
      <x:c r="K125" s="7" t="n">
        <x:f t="shared" si="6">E125*'修订说明'!$B$2</x:f>
        <x:v>382.31969999999944</x:v>
      </x:c>
      <x:c r="L125" s="7" t="n">
        <x:f t="shared" si="7">B125*K125</x:f>
        <x:v>533.4124454399993</x:v>
      </x:c>
    </x:row>
    <x:row r="126">
      <x:c r="A126" t="s">
        <x:v>126</x:v>
      </x:c>
      <x:c r="B126" s="7" t="n">
        <x:v>1.2226</x:v>
      </x:c>
      <x:c r="C126" s="7" t="n">
        <x:v>4295.2135</x:v>
      </x:c>
      <x:c r="D126" s="7" t="n">
        <x:v>0</x:v>
      </x:c>
      <x:c r="E126" s="7" t="n">
        <x:v>3295.2134999999967</x:v>
      </x:c>
      <x:c r="F126" s="7" t="n">
        <x:v>0</x:v>
      </x:c>
      <x:c r="G126" s="7" t="n">
        <x:v>999.9999999999989</x:v>
      </x:c>
      <x:c r="H126" s="7" t="n">
        <x:v>0</x:v>
      </x:c>
      <x:c r="I126" s="7" t="n">
        <x:v>1375.6820922315778</x:v>
      </x:c>
      <x:c r="J126" s="7" t="n">
        <x:v>1200.0000000000007</x:v>
      </x:c>
      <x:c r="K126" s="7" t="n">
        <x:f t="shared" si="6">E126*'修订说明'!$B$2</x:f>
        <x:v>549.2022499999994</x:v>
      </x:c>
      <x:c r="L126" s="7" t="n">
        <x:f t="shared" si="7">B126*K126</x:f>
        <x:v>671.4546708499992</x:v>
      </x:c>
    </x:row>
    <x:row r="127">
      <x:c r="A127" t="s">
        <x:v>127</x:v>
      </x:c>
      <x:c r="B127" s="7" t="n">
        <x:v>0.9332</x:v>
      </x:c>
      <x:c r="C127" s="7" t="n">
        <x:v>4302.0307</x:v>
      </x:c>
      <x:c r="D127" s="7" t="n">
        <x:v>0</x:v>
      </x:c>
      <x:c r="E127" s="7" t="n">
        <x:v>4302.0307</x:v>
      </x:c>
      <x:c r="F127" s="7" t="n">
        <x:v>0</x:v>
      </x:c>
      <x:c r="G127" s="7" t="n">
        <x:v>0</x:v>
      </x:c>
      <x:c r="H127" s="7" t="n">
        <x:v>0</x:v>
      </x:c>
      <x:c r="I127" s="7" t="n">
        <x:v>1200.0000000000007</x:v>
      </x:c>
      <x:c r="J127" s="7" t="n">
        <x:v>1200.0000000000007</x:v>
      </x:c>
      <x:c r="K127" s="7" t="n">
        <x:f t="shared" si="6">E127*'修订说明'!$B$2</x:f>
        <x:v>717.0051166666667</x:v>
      </x:c>
      <x:c r="L127" s="7" t="n">
        <x:f t="shared" si="7">B127*K127</x:f>
        <x:v>669.1091748733334</x:v>
      </x:c>
    </x:row>
    <x:row r="128">
      <x:c r="A128" t="s">
        <x:v>128</x:v>
      </x:c>
      <x:c r="B128" s="7" t="n">
        <x:v>0.9068</x:v>
      </x:c>
      <x:c r="C128" s="7" t="n">
        <x:v>4320.9618</x:v>
      </x:c>
      <x:c r="D128" s="7" t="n">
        <x:v>0</x:v>
      </x:c>
      <x:c r="E128" s="7" t="n">
        <x:v>4320.961799999997</x:v>
      </x:c>
      <x:c r="F128" s="7" t="n">
        <x:v>0</x:v>
      </x:c>
      <x:c r="G128" s="7" t="n">
        <x:v>0</x:v>
      </x:c>
      <x:c r="H128" s="7" t="n">
        <x:v>0</x:v>
      </x:c>
      <x:c r="I128" s="7" t="n">
        <x:v>1200.0000000000007</x:v>
      </x:c>
      <x:c r="J128" s="7" t="n">
        <x:v>1200.0000000000005</x:v>
      </x:c>
      <x:c r="K128" s="7" t="n">
        <x:f t="shared" si="6">E128*'修订说明'!$B$2</x:f>
        <x:v>720.1602999999996</x:v>
      </x:c>
      <x:c r="L128" s="7" t="n">
        <x:f t="shared" si="7">B128*K128</x:f>
        <x:v>653.0413600399996</x:v>
      </x:c>
    </x:row>
    <x:row r="129">
      <x:c r="A129" t="s">
        <x:v>129</x:v>
      </x:c>
      <x:c r="B129" s="7" t="n">
        <x:v>0.9371</x:v>
      </x:c>
      <x:c r="C129" s="7" t="n">
        <x:v>4302.3292</x:v>
      </x:c>
      <x:c r="D129" s="7" t="n">
        <x:v>0</x:v>
      </x:c>
      <x:c r="E129" s="7" t="n">
        <x:v>4302.3292</x:v>
      </x:c>
      <x:c r="F129" s="7" t="n">
        <x:v>0</x:v>
      </x:c>
      <x:c r="G129" s="7" t="n">
        <x:v>0</x:v>
      </x:c>
      <x:c r="H129" s="7" t="n">
        <x:v>0</x:v>
      </x:c>
      <x:c r="I129" s="7" t="n">
        <x:v>1200.0000000000005</x:v>
      </x:c>
      <x:c r="J129" s="7" t="n">
        <x:v>1200.0000000000005</x:v>
      </x:c>
      <x:c r="K129" s="7" t="n">
        <x:f t="shared" si="6">E129*'修订说明'!$B$2</x:f>
        <x:v>717.0548666666666</x:v>
      </x:c>
      <x:c r="L129" s="7" t="n">
        <x:f t="shared" si="7">B129*K129</x:f>
        <x:v>671.9521155533333</x:v>
      </x:c>
    </x:row>
    <x:row r="130">
      <x:c r="A130" t="s">
        <x:v>130</x:v>
      </x:c>
      <x:c r="B130" s="7" t="n">
        <x:v>0.9371</x:v>
      </x:c>
      <x:c r="C130" s="7" t="n">
        <x:v>4322.6758</x:v>
      </x:c>
      <x:c r="D130" s="7" t="n">
        <x:v>0</x:v>
      </x:c>
      <x:c r="E130" s="7" t="n">
        <x:v>4322.675799999998</x:v>
      </x:c>
      <x:c r="F130" s="7" t="n">
        <x:v>0</x:v>
      </x:c>
      <x:c r="G130" s="7" t="n">
        <x:v>0</x:v>
      </x:c>
      <x:c r="H130" s="7" t="n">
        <x:v>0</x:v>
      </x:c>
      <x:c r="I130" s="7" t="n">
        <x:v>1200.0000000000005</x:v>
      </x:c>
      <x:c r="J130" s="7" t="n">
        <x:v>1200</x:v>
      </x:c>
      <x:c r="K130" s="7" t="n">
        <x:f t="shared" ref="K130:K145" si="8">E130*'修订说明'!$B$2</x:f>
        <x:v>720.4459666666663</x:v>
      </x:c>
      <x:c r="L130" s="7" t="n">
        <x:f t="shared" ref="L130:L145" si="9">B130*K130</x:f>
        <x:v>675.129915363333</x:v>
      </x:c>
    </x:row>
    <x:row r="131">
      <x:c r="A131" t="s">
        <x:v>131</x:v>
      </x:c>
      <x:c r="B131" s="7" t="n">
        <x:v>0.9871</x:v>
      </x:c>
      <x:c r="C131" s="7" t="n">
        <x:v>4428.8083</x:v>
      </x:c>
      <x:c r="D131" s="7" t="n">
        <x:v>0</x:v>
      </x:c>
      <x:c r="E131" s="7" t="n">
        <x:v>4428.808299999997</x:v>
      </x:c>
      <x:c r="F131" s="7" t="n">
        <x:v>0</x:v>
      </x:c>
      <x:c r="G131" s="7" t="n">
        <x:v>0</x:v>
      </x:c>
      <x:c r="H131" s="7" t="n">
        <x:v>0</x:v>
      </x:c>
      <x:c r="I131" s="7" t="n">
        <x:v>1200</x:v>
      </x:c>
      <x:c r="J131" s="7" t="n">
        <x:v>1199.9999999999998</x:v>
      </x:c>
      <x:c r="K131" s="7" t="n">
        <x:f t="shared" si="8">E131*'修订说明'!$B$2</x:f>
        <x:v>738.1347166666661</x:v>
      </x:c>
      <x:c r="L131" s="7" t="n">
        <x:f t="shared" si="9">B131*K131</x:f>
        <x:v>728.6127788216661</x:v>
      </x:c>
    </x:row>
    <x:row r="132">
      <x:c r="A132" t="s">
        <x:v>132</x:v>
      </x:c>
      <x:c r="B132" s="7" t="n">
        <x:v>0.7764</x:v>
      </x:c>
      <x:c r="C132" s="7" t="n">
        <x:v>4030.1614</x:v>
      </x:c>
      <x:c r="D132" s="7" t="n">
        <x:v>0</x:v>
      </x:c>
      <x:c r="E132" s="7" t="n">
        <x:v>4030.1614000000045</x:v>
      </x:c>
      <x:c r="F132" s="7" t="n">
        <x:v>0</x:v>
      </x:c>
      <x:c r="G132" s="7" t="n">
        <x:v>0</x:v>
      </x:c>
      <x:c r="H132" s="7" t="n">
        <x:v>0</x:v>
      </x:c>
      <x:c r="I132" s="7" t="n">
        <x:v>1199.9999999999998</x:v>
      </x:c>
      <x:c r="J132" s="7" t="n">
        <x:v>1200.0000000000007</x:v>
      </x:c>
      <x:c r="K132" s="7" t="n">
        <x:f t="shared" si="8">E132*'修订说明'!$B$2</x:f>
        <x:v>671.6935666666674</x:v>
      </x:c>
      <x:c r="L132" s="7" t="n">
        <x:f t="shared" si="9">B132*K132</x:f>
        <x:v>521.5028851600006</x:v>
      </x:c>
    </x:row>
    <x:row r="133">
      <x:c r="A133" t="s">
        <x:v>133</x:v>
      </x:c>
      <x:c r="B133" s="7" t="n">
        <x:v>0.4209</x:v>
      </x:c>
      <x:c r="C133" s="7" t="n">
        <x:v>3362.7419</x:v>
      </x:c>
      <x:c r="D133" s="7" t="n">
        <x:v>0</x:v>
      </x:c>
      <x:c r="E133" s="7" t="n">
        <x:v>4362.7419000000045</x:v>
      </x:c>
      <x:c r="F133" s="7" t="n">
        <x:v>1000.0000000000082</x:v>
      </x:c>
      <x:c r="G133" s="7" t="n">
        <x:v>0</x:v>
      </x:c>
      <x:c r="H133" s="7" t="n">
        <x:v>0</x:v>
      </x:c>
      <x:c r="I133" s="7" t="n">
        <x:v>1200.0000000000007</x:v>
      </x:c>
      <x:c r="J133" s="7" t="n">
        <x:v>1358.1138830084203</x:v>
      </x:c>
      <x:c r="K133" s="7" t="n">
        <x:f t="shared" si="8">E133*'修订说明'!$B$2</x:f>
        <x:v>727.1236500000007</x:v>
      </x:c>
      <x:c r="L133" s="7" t="n">
        <x:f t="shared" si="9">B133*K133</x:f>
        <x:v>306.04634428500026</x:v>
      </x:c>
    </x:row>
    <x:row r="134">
      <x:c r="A134" t="s">
        <x:v>134</x:v>
      </x:c>
      <x:c r="B134" s="7" t="n">
        <x:v>0.3859</x:v>
      </x:c>
      <x:c r="C134" s="7" t="n">
        <x:v>3309.3934</x:v>
      </x:c>
      <x:c r="D134" s="7" t="n">
        <x:v>0</x:v>
      </x:c>
      <x:c r="E134" s="7" t="n">
        <x:v>5309.3934000000045</x:v>
      </x:c>
      <x:c r="F134" s="7" t="n">
        <x:v>2000.0000000000255</x:v>
      </x:c>
      <x:c r="G134" s="7" t="n">
        <x:v>0</x:v>
      </x:c>
      <x:c r="H134" s="7" t="n">
        <x:v>0</x:v>
      </x:c>
      <x:c r="I134" s="7" t="n">
        <x:v>1358.1138830084203</x:v>
      </x:c>
      <x:c r="J134" s="7" t="n">
        <x:v>1674.3416490252587</x:v>
      </x:c>
      <x:c r="K134" s="7" t="n">
        <x:f t="shared" si="8">E134*'修订说明'!$B$2</x:f>
        <x:v>884.8989000000007</x:v>
      </x:c>
      <x:c r="L134" s="7" t="n">
        <x:f t="shared" si="9">B134*K134</x:f>
        <x:v>341.4824855100003</x:v>
      </x:c>
    </x:row>
    <x:row r="135">
      <x:c r="A135" t="s">
        <x:v>135</x:v>
      </x:c>
      <x:c r="B135" s="7" t="n">
        <x:v>0.4368</x:v>
      </x:c>
      <x:c r="C135" s="7" t="n">
        <x:v>3412.9563</x:v>
      </x:c>
      <x:c r="D135" s="7" t="n">
        <x:v>0</x:v>
      </x:c>
      <x:c r="E135" s="7" t="n">
        <x:v>5412.956300000004</x:v>
      </x:c>
      <x:c r="F135" s="7" t="n">
        <x:v>1999.999999999989</x:v>
      </x:c>
      <x:c r="G135" s="7" t="n">
        <x:v>0</x:v>
      </x:c>
      <x:c r="H135" s="7" t="n">
        <x:v>0</x:v>
      </x:c>
      <x:c r="I135" s="7" t="n">
        <x:v>1674.3416490252587</x:v>
      </x:c>
      <x:c r="J135" s="7" t="n">
        <x:v>1990.5694150420975</x:v>
      </x:c>
      <x:c r="K135" s="7" t="n">
        <x:f t="shared" si="8">E135*'修订说明'!$B$2</x:f>
        <x:v>902.1593833333341</x:v>
      </x:c>
      <x:c r="L135" s="7" t="n">
        <x:f t="shared" si="9">B135*K135</x:f>
        <x:v>394.06321864000034</x:v>
      </x:c>
    </x:row>
    <x:row r="136">
      <x:c r="A136" t="s">
        <x:v>136</x:v>
      </x:c>
      <x:c r="B136" s="7" t="n">
        <x:v>0.4198</x:v>
      </x:c>
      <x:c r="C136" s="7" t="n">
        <x:v>3381.9313</x:v>
      </x:c>
      <x:c r="D136" s="7" t="n">
        <x:v>0</x:v>
      </x:c>
      <x:c r="E136" s="7" t="n">
        <x:v>5917.717853761644</x:v>
      </x:c>
      <x:c r="F136" s="7" t="n">
        <x:v>2535.786553761643</x:v>
      </x:c>
      <x:c r="G136" s="7" t="n">
        <x:v>0</x:v>
      </x:c>
      <x:c r="H136" s="7" t="n">
        <x:v>0</x:v>
      </x:c>
      <x:c r="I136" s="7" t="n">
        <x:v>1990.5694150420975</x:v>
      </x:c>
      <x:c r="J136" s="7" t="n">
        <x:v>2391.5124735378877</x:v>
      </x:c>
      <x:c r="K136" s="7" t="n">
        <x:f t="shared" si="8">E136*'修订说明'!$B$2</x:f>
        <x:v>986.2863089602739</x:v>
      </x:c>
      <x:c r="L136" s="7" t="n">
        <x:f t="shared" si="9">B136*K136</x:f>
        <x:v>414.042992501523</x:v>
      </x:c>
    </x:row>
    <x:row r="137">
      <x:c r="A137" t="s">
        <x:v>137</x:v>
      </x:c>
      <x:c r="B137" s="7" t="n">
        <x:v>0.4186</x:v>
      </x:c>
      <x:c r="C137" s="7" t="n">
        <x:v>3386.5592</x:v>
      </x:c>
      <x:c r="D137" s="7" t="n">
        <x:v>0</x:v>
      </x:c>
      <x:c r="E137" s="7" t="n">
        <x:v>5922.345753761642</x:v>
      </x:c>
      <x:c r="F137" s="7" t="n">
        <x:v>2535.786553761666</x:v>
      </x:c>
      <x:c r="G137" s="7" t="n">
        <x:v>0</x:v>
      </x:c>
      <x:c r="H137" s="7" t="n">
        <x:v>0</x:v>
      </x:c>
      <x:c r="I137" s="7" t="n">
        <x:v>2391.5124735378877</x:v>
      </x:c>
      <x:c r="J137" s="7" t="n">
        <x:v>2792.4555320336776</x:v>
      </x:c>
      <x:c r="K137" s="7" t="n">
        <x:f t="shared" si="8">E137*'修订说明'!$B$2</x:f>
        <x:v>987.0576256269403</x:v>
      </x:c>
      <x:c r="L137" s="7" t="n">
        <x:f t="shared" si="9">B137*K137</x:f>
        <x:v>413.1823220874372</x:v>
      </x:c>
    </x:row>
    <x:row r="138">
      <x:c r="A138" t="s">
        <x:v>138</x:v>
      </x:c>
      <x:c r="B138" s="7" t="n">
        <x:v>0.4241</x:v>
      </x:c>
      <x:c r="C138" s="7" t="n">
        <x:v>3400.4846</x:v>
      </x:c>
      <x:c r="D138" s="7" t="n">
        <x:v>0</x:v>
      </x:c>
      <x:c r="E138" s="7" t="n">
        <x:v>5936.271153761643</x:v>
      </x:c>
      <x:c r="F138" s="7" t="n">
        <x:v>2535.7865537616176</x:v>
      </x:c>
      <x:c r="G138" s="7" t="n">
        <x:v>0</x:v>
      </x:c>
      <x:c r="H138" s="7" t="n">
        <x:v>0</x:v>
      </x:c>
      <x:c r="I138" s="7" t="n">
        <x:v>2792.4555320336776</x:v>
      </x:c>
      <x:c r="J138" s="7" t="n">
        <x:v>3193.3985905294685</x:v>
      </x:c>
      <x:c r="K138" s="7" t="n">
        <x:f t="shared" si="8">E138*'修订说明'!$B$2</x:f>
        <x:v>989.3785256269405</x:v>
      </x:c>
      <x:c r="L138" s="7" t="n">
        <x:f t="shared" si="9">B138*K138</x:f>
        <x:v>419.59543271838544</x:v>
      </x:c>
    </x:row>
    <x:row r="139">
      <x:c r="A139" t="s">
        <x:v>139</x:v>
      </x:c>
      <x:c r="B139" s="7" t="n">
        <x:v>0.4237</x:v>
      </x:c>
      <x:c r="C139" s="7" t="n">
        <x:v>3399.2426</x:v>
      </x:c>
      <x:c r="D139" s="7" t="n">
        <x:v>0</x:v>
      </x:c>
      <x:c r="E139" s="7" t="n">
        <x:v>5935.029153761643</x:v>
      </x:c>
      <x:c r="F139" s="7" t="n">
        <x:v>2535.7865537616367</x:v>
      </x:c>
      <x:c r="G139" s="7" t="n">
        <x:v>0</x:v>
      </x:c>
      <x:c r="H139" s="7" t="n">
        <x:v>0</x:v>
      </x:c>
      <x:c r="I139" s="7" t="n">
        <x:v>3193.3985905294685</x:v>
      </x:c>
      <x:c r="J139" s="7" t="n">
        <x:v>3594.341649025259</x:v>
      </x:c>
      <x:c r="K139" s="7" t="n">
        <x:f t="shared" si="8">E139*'修订说明'!$B$2</x:f>
        <x:v>989.1715256269405</x:v>
      </x:c>
      <x:c r="L139" s="7" t="n">
        <x:f t="shared" si="9">B139*K139</x:f>
        <x:v>419.1119754081347</x:v>
      </x:c>
    </x:row>
    <x:row r="140">
      <x:c r="A140" t="s">
        <x:v>140</x:v>
      </x:c>
      <x:c r="B140" s="7" t="n">
        <x:v>0.4248</x:v>
      </x:c>
      <x:c r="C140" s="7" t="n">
        <x:v>3406.9809</x:v>
      </x:c>
      <x:c r="D140" s="7" t="n">
        <x:v>0</x:v>
      </x:c>
      <x:c r="E140" s="7" t="n">
        <x:v>5942.767453761643</x:v>
      </x:c>
      <x:c r="F140" s="7" t="n">
        <x:v>2535.7865537616626</x:v>
      </x:c>
      <x:c r="G140" s="7" t="n">
        <x:v>0</x:v>
      </x:c>
      <x:c r="H140" s="7" t="n">
        <x:v>0</x:v>
      </x:c>
      <x:c r="I140" s="7" t="n">
        <x:v>3594.341649025259</x:v>
      </x:c>
      <x:c r="J140" s="7" t="n">
        <x:v>3995.284707521049</x:v>
      </x:c>
      <x:c r="K140" s="7" t="n">
        <x:f t="shared" si="8">E140*'修订说明'!$B$2</x:f>
        <x:v>990.4612422936071</x:v>
      </x:c>
      <x:c r="L140" s="7" t="n">
        <x:f t="shared" si="9">B140*K140</x:f>
        <x:v>420.74793572632433</x:v>
      </x:c>
    </x:row>
    <x:row r="141">
      <x:c r="A141" t="s">
        <x:v>141</x:v>
      </x:c>
      <x:c r="B141" s="7" t="n">
        <x:v>0.424</x:v>
      </x:c>
      <x:c r="C141" s="7" t="n">
        <x:v>3416.1518</x:v>
      </x:c>
      <x:c r="D141" s="7" t="n">
        <x:v>0</x:v>
      </x:c>
      <x:c r="E141" s="7" t="n">
        <x:v>5951.938353761643</x:v>
      </x:c>
      <x:c r="F141" s="7" t="n">
        <x:v>2535.7865537616367</x:v>
      </x:c>
      <x:c r="G141" s="7" t="n">
        <x:v>0</x:v>
      </x:c>
      <x:c r="H141" s="7" t="n">
        <x:v>0</x:v>
      </x:c>
      <x:c r="I141" s="7" t="n">
        <x:v>3995.284707521049</x:v>
      </x:c>
      <x:c r="J141" s="7" t="n">
        <x:v>4396.227766016839</x:v>
      </x:c>
      <x:c r="K141" s="7" t="n">
        <x:f t="shared" si="8">E141*'修订说明'!$B$2</x:f>
        <x:v>991.9897256269405</x:v>
      </x:c>
      <x:c r="L141" s="7" t="n">
        <x:f t="shared" si="9">B141*K141</x:f>
        <x:v>420.60364366582274</x:v>
      </x:c>
    </x:row>
    <x:row r="142">
      <x:c r="A142" t="s">
        <x:v>142</x:v>
      </x:c>
      <x:c r="B142" s="7" t="n">
        <x:v>0.422</x:v>
      </x:c>
      <x:c r="C142" s="7" t="n">
        <x:v>3421.9811</x:v>
      </x:c>
      <x:c r="D142" s="7" t="n">
        <x:v>0</x:v>
      </x:c>
      <x:c r="E142" s="7" t="n">
        <x:v>5957.767653761643</x:v>
      </x:c>
      <x:c r="F142" s="7" t="n">
        <x:v>2535.7865537616553</x:v>
      </x:c>
      <x:c r="G142" s="7" t="n">
        <x:v>0</x:v>
      </x:c>
      <x:c r="H142" s="7" t="n">
        <x:v>0</x:v>
      </x:c>
      <x:c r="I142" s="7" t="n">
        <x:v>4396.227766016839</x:v>
      </x:c>
      <x:c r="J142" s="7" t="n">
        <x:v>4797.170824512629</x:v>
      </x:c>
      <x:c r="K142" s="7" t="n">
        <x:f t="shared" si="8">E142*'修订说明'!$B$2</x:f>
        <x:v>992.9612756269404</x:v>
      </x:c>
      <x:c r="L142" s="7" t="n">
        <x:f t="shared" si="9">B142*K142</x:f>
        <x:v>419.02965831456885</x:v>
      </x:c>
    </x:row>
    <x:row r="143">
      <x:c r="A143" t="s">
        <x:v>143</x:v>
      </x:c>
      <x:c r="B143" s="7" t="n">
        <x:v>0.424</x:v>
      </x:c>
      <x:c r="C143" s="7" t="n">
        <x:v>3429.6923</x:v>
      </x:c>
      <x:c r="D143" s="7" t="n">
        <x:v>0</x:v>
      </x:c>
      <x:c r="E143" s="7" t="n">
        <x:v>5965.478853761643</x:v>
      </x:c>
      <x:c r="F143" s="7" t="n">
        <x:v>2535.78655376166</x:v>
      </x:c>
      <x:c r="G143" s="7" t="n">
        <x:v>0</x:v>
      </x:c>
      <x:c r="H143" s="7" t="n">
        <x:v>0</x:v>
      </x:c>
      <x:c r="I143" s="7" t="n">
        <x:v>4797.170824512629</x:v>
      </x:c>
      <x:c r="J143" s="7" t="n">
        <x:v>5198.113883008419</x:v>
      </x:c>
      <x:c r="K143" s="7" t="n">
        <x:f t="shared" si="8">E143*'修订说明'!$B$2</x:f>
        <x:v>994.2464756269405</x:v>
      </x:c>
      <x:c r="L143" s="7" t="n">
        <x:f t="shared" si="9">B143*K143</x:f>
        <x:v>421.5605056658228</x:v>
      </x:c>
    </x:row>
    <x:row r="144">
      <x:c r="A144" t="s">
        <x:v>144</x:v>
      </x:c>
      <x:c r="B144" s="7" t="n">
        <x:v>0.4271</x:v>
      </x:c>
      <x:c r="C144" s="7" t="n">
        <x:v>3439.061</x:v>
      </x:c>
      <x:c r="D144" s="7" t="n">
        <x:v>0</x:v>
      </x:c>
      <x:c r="E144" s="7" t="n">
        <x:v>5974.847553761643</x:v>
      </x:c>
      <x:c r="F144" s="7" t="n">
        <x:v>2535.786553761612</x:v>
      </x:c>
      <x:c r="G144" s="7" t="n">
        <x:v>0</x:v>
      </x:c>
      <x:c r="H144" s="7" t="n">
        <x:v>0</x:v>
      </x:c>
      <x:c r="I144" s="7" t="n">
        <x:v>5198.113883008419</x:v>
      </x:c>
      <x:c r="J144" s="7" t="n">
        <x:v>5599.05694150421</x:v>
      </x:c>
      <x:c r="K144" s="7" t="n">
        <x:f t="shared" si="8">E144*'修订说明'!$B$2</x:f>
        <x:v>995.8079256269405</x:v>
      </x:c>
      <x:c r="L144" s="7" t="n">
        <x:f t="shared" si="9">B144*K144</x:f>
        <x:v>425.30956503526625</x:v>
      </x:c>
    </x:row>
    <x:row r="145">
      <x:c r="A145" t="s">
        <x:v>145</x:v>
      </x:c>
      <x:c r="B145" s="7" t="n">
        <x:v>0.4276</x:v>
      </x:c>
      <x:c r="C145" s="7" t="n">
        <x:v>3444.7259</x:v>
      </x:c>
      <x:c r="D145" s="7" t="n">
        <x:v>0</x:v>
      </x:c>
      <x:c r="E145" s="7" t="n">
        <x:v>5980.512453761643</x:v>
      </x:c>
      <x:c r="F145" s="7" t="n">
        <x:v>2535.786553761643</x:v>
      </x:c>
      <x:c r="G145" s="7" t="n">
        <x:v>0</x:v>
      </x:c>
      <x:c r="H145" s="7" t="n">
        <x:v>0</x:v>
      </x:c>
      <x:c r="I145" s="7" t="n">
        <x:v>5599.05694150421</x:v>
      </x:c>
      <x:c r="J145" s="7" t="n">
        <x:v>6000</x:v>
      </x:c>
      <x:c r="K145" s="7" t="n">
        <x:f t="shared" si="8">E145*'修订说明'!$B$2</x:f>
        <x:v>996.7520756269405</x:v>
      </x:c>
      <x:c r="L145" s="7" t="n">
        <x:f t="shared" si="9">B145*K145</x:f>
        <x:v>426.21118753807974</x:v>
      </x:c>
    </x:row>
    <x:row r="146">
      <x:c r="A146" t="s">
        <x:v>169</x:v>
      </x:c>
      <x:c r="K146" s="7" t="n">
        <x:f>SUM(K2:K145)</x:f>
        <x:v>57560.61607674179</x:v>
      </x:c>
      <x:c r="L146" s="7" t="n">
        <x:f>SUM(L2:L145)</x:f>
        <x:v>34115.03245096839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4.5"/>
  <x:cols>
    <x:col min="1" max="1" width="35" hidden="0" customWidth="1"/>
    <x:col min="2" max="2" width="80" hidden="0" customWidth="1"/>
  </x:cols>
  <x:sheetData>
    <x:row r="1" ht="15">
      <x:c r="A1" s="8" t="str">
        <x:v>项目</x:v>
      </x:c>
      <x:c r="B1" s="23" t="str">
        <x:v>数值／说明</x:v>
      </x:c>
    </x:row>
    <x:row r="2">
      <x:c r="A2" t="str">
        <x:v>输入来源</x:v>
      </x:c>
      <x:c r="B2" s="11" t="str">
        <x:v>C:\Users\14051\Desktop\shuxuejianmo\附件1.xlsx</x:v>
      </x:c>
    </x:row>
    <x:row r="3">
      <x:c r="A3" t="str">
        <x:v>求解状态</x:v>
      </x:c>
      <x:c r="B3" s="24" t="str">
        <x:v>三层均达到相对间隙1e-9要求；以下记录实际值</x:v>
      </x:c>
    </x:row>
    <x:row r="4">
      <x:c r="A4" t="str">
        <x:v>第1层_stage</x:v>
      </x:c>
      <x:c r="B4" s="24" t="n">
        <x:v>1</x:v>
      </x:c>
    </x:row>
    <x:row r="5">
      <x:c r="A5" t="str">
        <x:v>第1层_objective</x:v>
      </x:c>
      <x:c r="B5" s="24" t="n">
        <x:v>34080.95139956882</x:v>
      </x:c>
    </x:row>
    <x:row r="6">
      <x:c r="A6" t="str">
        <x:v>第1层_seconds</x:v>
      </x:c>
      <x:c r="B6" s="24" t="n">
        <x:v>0.25314170000274316</x:v>
      </x:c>
    </x:row>
    <x:row r="7">
      <x:c r="A7" t="str">
        <x:v>第1层_gap</x:v>
      </x:c>
      <x:c r="B7" s="24" t="n">
        <x:v>0</x:v>
      </x:c>
    </x:row>
    <x:row r="8">
      <x:c r="A8" t="str">
        <x:v>第1层_dual_bound</x:v>
      </x:c>
      <x:c r="B8" s="24" t="n">
        <x:v>34080.95139956882</x:v>
      </x:c>
    </x:row>
    <x:row r="9">
      <x:c r="A9" t="str">
        <x:v>第1层_cost</x:v>
      </x:c>
      <x:c r="B9" s="24" t="n">
        <x:v>34080.95139956881</x:v>
      </x:c>
    </x:row>
    <x:row r="10">
      <x:c r="A10" t="str">
        <x:v>第1层_purchase</x:v>
      </x:c>
      <x:c r="B10" s="24" t="n">
        <x:v>57572.39629569831</x:v>
      </x:c>
    </x:row>
    <x:row r="11">
      <x:c r="A11" t="str">
        <x:v>第1层_cost_relax</x:v>
      </x:c>
      <x:c r="B11" s="11" t="n">
        <x:v>0.001</x:v>
      </x:c>
    </x:row>
    <x:row r="12">
      <x:c r="A12" t="str">
        <x:v>第1层_lambda_tv</x:v>
      </x:c>
      <x:c r="B12" s="24" t="n">
        <x:v>1</x:v>
      </x:c>
    </x:row>
    <x:row r="13">
      <x:c r="A13" t="str">
        <x:v>第1层_ramp_kw</x:v>
      </x:c>
      <x:c r="B13" s="24" t="n">
        <x:v>1000</x:v>
      </x:c>
    </x:row>
    <x:row r="14">
      <x:c r="A14" t="str">
        <x:v>第1层_min_on</x:v>
      </x:c>
      <x:c r="B14" s="24" t="n">
        <x:v>3</x:v>
      </x:c>
    </x:row>
    <x:row r="15">
      <x:c r="A15" t="str">
        <x:v>第1层_min_off</x:v>
      </x:c>
      <x:c r="B15" s="24" t="n">
        <x:v>2</x:v>
      </x:c>
    </x:row>
    <x:row r="16">
      <x:c r="A16" t="str">
        <x:v>第1层_constraint_residual</x:v>
      </x:c>
      <x:c r="B16" s="24" t="n">
        <x:v>2.4244297200925225e-10</x:v>
      </x:c>
    </x:row>
    <x:row r="17">
      <x:c r="A17" t="str">
        <x:v>第1层_variation_kw</x:v>
      </x:c>
      <x:c r="B17" s="24" t="n">
        <x:v>50943.2784085682</x:v>
      </x:c>
    </x:row>
    <x:row r="18">
      <x:c r="A18" t="str">
        <x:v>第1层_starts</x:v>
      </x:c>
      <x:c r="B18" s="24" t="n">
        <x:v>6</x:v>
      </x:c>
    </x:row>
    <x:row r="19">
      <x:c r="A19" t="str">
        <x:v>第1层_short_deficit</x:v>
      </x:c>
      <x:c r="B19" s="24" t="n">
        <x:v>0</x:v>
      </x:c>
    </x:row>
    <x:row r="20">
      <x:c r="A20" t="str">
        <x:v>第1层_F2</x:v>
      </x:c>
      <x:c r="B20" s="24" t="n">
        <x:v>0.05621061000595014</x:v>
      </x:c>
    </x:row>
    <x:row r="21">
      <x:c r="A21" t="str">
        <x:v>第1层_max_step_kw</x:v>
      </x:c>
      <x:c r="B21" s="24" t="n">
        <x:v>1000.0000000000209</x:v>
      </x:c>
    </x:row>
    <x:row r="22">
      <x:c r="A22" t="str">
        <x:v>第1层_short_runs</x:v>
      </x:c>
      <x:c r="B22" s="24" t="n">
        <x:v>0</x:v>
      </x:c>
    </x:row>
    <x:row r="23">
      <x:c r="A23" t="str">
        <x:v>第1层_low_power_slots</x:v>
      </x:c>
      <x:c r="B23" s="24" t="n">
        <x:v>4</x:v>
      </x:c>
    </x:row>
    <x:row r="24">
      <x:c r="A24" t="str">
        <x:v>第1层_min_run_slots</x:v>
      </x:c>
      <x:c r="B24" s="24" t="n">
        <x:v>3</x:v>
      </x:c>
    </x:row>
    <x:row r="25">
      <x:c r="A25" t="str">
        <x:v>第1层_min_closed_slots</x:v>
      </x:c>
      <x:c r="B25" s="24" t="n">
        <x:v>3</x:v>
      </x:c>
    </x:row>
    <x:row r="26">
      <x:c r="A26" t="str">
        <x:v>第2层_stage</x:v>
      </x:c>
      <x:c r="B26" s="24" t="n">
        <x:v>2</x:v>
      </x:c>
    </x:row>
    <x:row r="27">
      <x:c r="A27" t="str">
        <x:v>第2层_objective</x:v>
      </x:c>
      <x:c r="B27" s="24" t="n">
        <x:v>0.036950809762227955</x:v>
      </x:c>
    </x:row>
    <x:row r="28">
      <x:c r="A28" t="str">
        <x:v>第2层_seconds</x:v>
      </x:c>
      <x:c r="B28" s="24" t="n">
        <x:v>4.24177200000122</x:v>
      </x:c>
    </x:row>
    <x:row r="29">
      <x:c r="A29" t="str">
        <x:v>第2层_gap</x:v>
      </x:c>
      <x:c r="B29" s="24" t="n">
        <x:v>0</x:v>
      </x:c>
    </x:row>
    <x:row r="30">
      <x:c r="A30" t="str">
        <x:v>第2层_dual_bound</x:v>
      </x:c>
      <x:c r="B30" s="24" t="n">
        <x:v>0.036950809762227955</x:v>
      </x:c>
    </x:row>
    <x:row r="31">
      <x:c r="A31" t="str">
        <x:v>第2层_cost</x:v>
      </x:c>
      <x:c r="B31" s="24" t="n">
        <x:v>34115.032450968385</x:v>
      </x:c>
    </x:row>
    <x:row r="32">
      <x:c r="A32" t="str">
        <x:v>第2层_purchase</x:v>
      </x:c>
      <x:c r="B32" s="24" t="n">
        <x:v>57560.64380388696</x:v>
      </x:c>
    </x:row>
    <x:row r="33">
      <x:c r="A33" t="str">
        <x:v>第2层_cost_relax</x:v>
      </x:c>
      <x:c r="B33" s="24" t="n">
        <x:v>0.001</x:v>
      </x:c>
    </x:row>
    <x:row r="34">
      <x:c r="A34" t="str">
        <x:v>第2层_lambda_tv</x:v>
      </x:c>
      <x:c r="B34" s="24" t="n">
        <x:v>1</x:v>
      </x:c>
    </x:row>
    <x:row r="35">
      <x:c r="A35" t="str">
        <x:v>第2层_ramp_kw</x:v>
      </x:c>
      <x:c r="B35" s="24" t="n">
        <x:v>1000</x:v>
      </x:c>
    </x:row>
    <x:row r="36">
      <x:c r="A36" t="str">
        <x:v>第2层_min_on</x:v>
      </x:c>
      <x:c r="B36" s="24" t="n">
        <x:v>3</x:v>
      </x:c>
    </x:row>
    <x:row r="37">
      <x:c r="A37" t="str">
        <x:v>第2层_min_off</x:v>
      </x:c>
      <x:c r="B37" s="24" t="n">
        <x:v>2</x:v>
      </x:c>
    </x:row>
    <x:row r="38">
      <x:c r="A38" t="str">
        <x:v>第2层_constraint_residual</x:v>
      </x:c>
      <x:c r="B38" s="24" t="n">
        <x:v>2.3646862246096134e-11</x:v>
      </x:c>
    </x:row>
    <x:row r="39">
      <x:c r="A39" t="str">
        <x:v>第2层_variation_kw</x:v>
      </x:c>
      <x:c r="B39" s="24" t="n">
        <x:v>33209.16605760826</x:v>
      </x:c>
    </x:row>
    <x:row r="40">
      <x:c r="A40" t="str">
        <x:v>第2层_starts</x:v>
      </x:c>
      <x:c r="B40" s="24" t="n">
        <x:v>4</x:v>
      </x:c>
    </x:row>
    <x:row r="41">
      <x:c r="A41" t="str">
        <x:v>第2层_short_deficit</x:v>
      </x:c>
      <x:c r="B41" s="24" t="n">
        <x:v>0</x:v>
      </x:c>
    </x:row>
    <x:row r="42">
      <x:c r="A42" t="str">
        <x:v>第2层_F2</x:v>
      </x:c>
      <x:c r="B42" s="24" t="n">
        <x:v>0.036950809762227955</x:v>
      </x:c>
    </x:row>
    <x:row r="43">
      <x:c r="A43" t="str">
        <x:v>第2层_max_step_kw</x:v>
      </x:c>
      <x:c r="B43" s="24" t="n">
        <x:v>1000.0000000000236</x:v>
      </x:c>
    </x:row>
    <x:row r="44">
      <x:c r="A44" t="str">
        <x:v>第2层_short_runs</x:v>
      </x:c>
      <x:c r="B44" s="24" t="n">
        <x:v>0</x:v>
      </x:c>
    </x:row>
    <x:row r="45">
      <x:c r="A45" t="str">
        <x:v>第2层_low_power_slots</x:v>
      </x:c>
      <x:c r="B45" s="24" t="n">
        <x:v>0</x:v>
      </x:c>
    </x:row>
    <x:row r="46">
      <x:c r="A46" t="str">
        <x:v>第2层_min_run_slots</x:v>
      </x:c>
      <x:c r="B46" s="24" t="n">
        <x:v>17</x:v>
      </x:c>
    </x:row>
    <x:row r="47">
      <x:c r="A47" t="str">
        <x:v>第2层_min_closed_slots</x:v>
      </x:c>
      <x:c r="B47" s="24" t="n">
        <x:v>43</x:v>
      </x:c>
    </x:row>
    <x:row r="48">
      <x:c r="A48" t="str">
        <x:v>第3层_stage</x:v>
      </x:c>
      <x:c r="B48" s="24" t="n">
        <x:v>3</x:v>
      </x:c>
    </x:row>
    <x:row r="49">
      <x:c r="A49" t="str">
        <x:v>第3层_objective</x:v>
      </x:c>
      <x:c r="B49" s="24" t="n">
        <x:v>57560.61607674178</x:v>
      </x:c>
    </x:row>
    <x:row r="50">
      <x:c r="A50" t="str">
        <x:v>第3层_seconds</x:v>
      </x:c>
      <x:c r="B50" s="11" t="n">
        <x:v>4.62856439999814</x:v>
      </x:c>
    </x:row>
    <x:row r="51">
      <x:c r="A51" t="str">
        <x:v>第3层_gap</x:v>
      </x:c>
      <x:c r="B51" s="11" t="n">
        <x:v>0</x:v>
      </x:c>
    </x:row>
    <x:row r="52">
      <x:c r="A52" t="str">
        <x:v>第3层_dual_bound</x:v>
      </x:c>
      <x:c r="B52" s="11" t="n">
        <x:v>57560.61607674178</x:v>
      </x:c>
    </x:row>
    <x:row r="53">
      <x:c r="A53" t="str">
        <x:v>第3层_cost</x:v>
      </x:c>
      <x:c r="B53" s="11" t="n">
        <x:v>34115.03245096838</x:v>
      </x:c>
    </x:row>
    <x:row r="54">
      <x:c r="A54" t="str">
        <x:v>第3层_purchase</x:v>
      </x:c>
      <x:c r="B54" s="11" t="n">
        <x:v>57560.616076741775</x:v>
      </x:c>
    </x:row>
    <x:row r="55">
      <x:c r="A55" t="str">
        <x:v>第3层_cost_relax</x:v>
      </x:c>
      <x:c r="B55" s="11" t="n">
        <x:v>0.001</x:v>
      </x:c>
    </x:row>
    <x:row r="56">
      <x:c r="A56" t="str">
        <x:v>第3层_lambda_tv</x:v>
      </x:c>
      <x:c r="B56" s="11" t="n">
        <x:v>1</x:v>
      </x:c>
    </x:row>
    <x:row r="57">
      <x:c r="A57" t="str">
        <x:v>第3层_ramp_kw</x:v>
      </x:c>
      <x:c r="B57" s="11" t="n">
        <x:v>1000</x:v>
      </x:c>
    </x:row>
    <x:row r="58">
      <x:c r="A58" t="str">
        <x:v>第3层_min_on</x:v>
      </x:c>
      <x:c r="B58" s="11" t="n">
        <x:v>3</x:v>
      </x:c>
    </x:row>
    <x:row r="59">
      <x:c r="A59" t="str">
        <x:v>第3层_min_off</x:v>
      </x:c>
      <x:c r="B59" s="11" t="n">
        <x:v>2</x:v>
      </x:c>
    </x:row>
    <x:row r="60">
      <x:c r="A60" t="str">
        <x:v>第3层_constraint_residual</x:v>
      </x:c>
      <x:c r="B60" s="11" t="n">
        <x:v>3.0013325158506606e-10</x:v>
      </x:c>
    </x:row>
    <x:row r="61">
      <x:c r="A61" t="str">
        <x:v>第3层_variation_kw</x:v>
      </x:c>
      <x:c r="B61" s="11" t="n">
        <x:v>33209.310057608585</x:v>
      </x:c>
    </x:row>
    <x:row r="62">
      <x:c r="A62" t="str">
        <x:v>第3层_starts</x:v>
      </x:c>
      <x:c r="B62" s="11" t="n">
        <x:v>4</x:v>
      </x:c>
    </x:row>
    <x:row r="63">
      <x:c r="A63" t="str">
        <x:v>第3层_short_deficit</x:v>
      </x:c>
      <x:c r="B63" s="11" t="n">
        <x:v>0</x:v>
      </x:c>
    </x:row>
    <x:row r="64">
      <x:c r="A64" t="str">
        <x:v>第3层_F2</x:v>
      </x:c>
      <x:c r="B64" s="11" t="n">
        <x:v>0.03695090976222819</x:v>
      </x:c>
    </x:row>
    <x:row r="65">
      <x:c r="A65" t="str">
        <x:v>第3层_max_step_kw</x:v>
      </x:c>
      <x:c r="B65" s="11" t="n">
        <x:v>1000.0000000000095</x:v>
      </x:c>
    </x:row>
    <x:row r="66">
      <x:c r="A66" t="str">
        <x:v>第3层_short_runs</x:v>
      </x:c>
      <x:c r="B66" s="11" t="n">
        <x:v>0</x:v>
      </x:c>
    </x:row>
    <x:row r="67">
      <x:c r="A67" t="str">
        <x:v>第3层_low_power_slots</x:v>
      </x:c>
      <x:c r="B67" s="11" t="n">
        <x:v>0</x:v>
      </x:c>
    </x:row>
    <x:row r="68">
      <x:c r="A68" t="str">
        <x:v>第3层_min_run_slots</x:v>
      </x:c>
      <x:c r="B68" s="11" t="n">
        <x:v>17</x:v>
      </x:c>
    </x:row>
    <x:row r="69">
      <x:c r="A69" t="str">
        <x:v>第3层_min_closed_slots</x:v>
      </x:c>
      <x:c r="B69" s="11" t="n">
        <x:v>43</x:v>
      </x:c>
    </x:row>
    <x:row r="70">
      <x:c r="B70" s="11"/>
    </x:row>
    <x:row r="71">
      <x:c r="B71" s="11"/>
    </x:row>
    <x:row r="72">
      <x:c r="B72" s="11"/>
    </x:row>
    <x:row r="73">
      <x:c r="B73" s="11"/>
    </x:row>
    <x:row r="74">
      <x:c r="B74" s="11"/>
    </x:row>
    <x:row r="75">
      <x:c r="B75" s="11"/>
    </x:row>
    <x:row r="76">
      <x:c r="B76" s="11"/>
    </x:row>
    <x:row r="77">
      <x:c r="B77" s="11"/>
    </x:row>
    <x:row r="78">
      <x:c r="B78" s="11"/>
    </x:row>
    <x:row r="79">
      <x:c r="B79" s="11"/>
    </x:row>
    <x:row r="80">
      <x:c r="B80" s="11"/>
    </x:row>
    <x:row r="81">
      <x:c r="B81" s="11"/>
    </x:row>
    <x:row r="82">
      <x:c r="B82" s="11"/>
    </x:row>
    <x:row r="83">
      <x:c r="B83" s="11"/>
    </x:row>
    <x:row r="84">
      <x:c r="B84" s="11"/>
    </x:row>
    <x:row r="85">
      <x:c r="B85" s="11"/>
    </x:row>
    <x:row r="86">
      <x:c r="B86" s="11"/>
    </x:row>
    <x:row r="87">
      <x:c r="B87" s="11"/>
    </x:row>
    <x:row r="88">
      <x:c r="B88" s="11"/>
    </x:row>
    <x:row r="89">
      <x:c r="B89" s="11"/>
    </x:row>
    <x:row r="90">
      <x:c r="B90" s="11"/>
    </x:row>
    <x:row r="91">
      <x:c r="B91" s="11"/>
    </x:row>
    <x:row r="92">
      <x:c r="B92" s="11"/>
    </x:row>
    <x:row r="93">
      <x:c r="B93" s="11"/>
    </x:row>
    <x:row r="94">
      <x:c r="B94" s="11"/>
    </x:row>
    <x:row r="95">
      <x:c r="B95" s="11"/>
    </x:row>
    <x:row r="96">
      <x:c r="B96" s="11"/>
    </x:row>
    <x:row r="97">
      <x:c r="B97" s="11"/>
    </x:row>
    <x:row r="98">
      <x:c r="B98" s="11"/>
    </x:row>
    <x:row r="99">
      <x:c r="B99" s="11"/>
    </x:row>
    <x:row r="100">
      <x:c r="B100" s="11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90" hidden="0" customWidth="1"/>
  </x:cols>
  <x:sheetData>
    <x:row r="1" ht="24" customHeight="1">
      <x:c r="A1" s="17" t="str">
        <x:v>参数或说明</x:v>
      </x:c>
      <x:c r="B1" s="20" t="str">
        <x:v>本次值／说明</x:v>
      </x:c>
    </x:row>
    <x:row r="2" ht="24" customHeight="1">
      <x:c r="A2" s="15" t="str">
        <x:v>时段长度h</x:v>
      </x:c>
      <x:c r="B2" s="19" t="n">
        <x:v>0.16666666666666666</x:v>
      </x:c>
    </x:row>
    <x:row r="3" ht="24" customHeight="1">
      <x:c r="A3" s="15" t="str">
        <x:v>电池单向效率</x:v>
      </x:c>
      <x:c r="B3" s="19" t="n">
        <x:v>0.9486832980505138</x:v>
      </x:c>
    </x:row>
    <x:row r="4" ht="24" customHeight="1">
      <x:c r="A4" s="15" t="str">
        <x:v>功率变化上限kW每10分钟</x:v>
      </x:c>
      <x:c r="B4" s="19" t="n">
        <x:v>1000</x:v>
      </x:c>
    </x:row>
    <x:row r="5" ht="24" customHeight="1">
      <x:c r="A5" s="15" t="str">
        <x:v>同一模式最短运行段数</x:v>
      </x:c>
      <x:c r="B5" s="19" t="n">
        <x:v>3</x:v>
      </x:c>
    </x:row>
    <x:row r="6" ht="24" customHeight="1">
      <x:c r="A6" s="15" t="str">
        <x:v>同一模式最短关闭段数</x:v>
      </x:c>
      <x:c r="B6" s="19" t="n">
        <x:v>2</x:v>
      </x:c>
    </x:row>
    <x:row r="7" ht="24" customHeight="1">
      <x:c r="A7" s="15" t="str">
        <x:v>电费让步比例δ</x:v>
      </x:c>
      <x:c r="B7" s="21" t="n">
        <x:v>0.001</x:v>
      </x:c>
    </x:row>
    <x:row r="8" ht="24" customHeight="1">
      <x:c r="A8" s="15" t="str">
        <x:v>功率变差相对权重λ</x:v>
      </x:c>
      <x:c r="B8" s="19" t="n">
        <x:v>1</x:v>
      </x:c>
    </x:row>
    <x:row r="9" ht="24" customHeight="1">
      <x:c r="A9" s="15" t="str">
        <x:v>最低有效功率kW</x:v>
      </x:c>
      <x:c r="B9" s="19" t="n">
        <x:v>1</x:v>
      </x:c>
    </x:row>
    <x:row r="10" ht="24" customHeight="1">
      <x:c r="A10" s="15" t="str">
        <x:v>短片段参考段数</x:v>
      </x:c>
      <x:c r="B10" s="19" t="n">
        <x:v>3</x:v>
      </x:c>
    </x:row>
    <x:row r="11" ht="42" customHeight="1">
      <x:c r="A11" s="15" t="str">
        <x:v>运行限值属性</x:v>
      </x:c>
      <x:c r="B11" s="19" t="str">
        <x:v>建模候选假设，非题设/国标/设备已知限值；同一模式关闭不等于整机强制停机。</x:v>
      </x:c>
    </x:row>
    <x:row r="12" ht="42" customHeight="1">
      <x:c r="A12" s="15" t="str">
        <x:v>效率口径</x:v>
      </x:c>
      <x:c r="B12" s="19" t="str">
        <x:v>总程效率0.9；充放电互斥；初末储能均6000 kWh；循环日边界。</x:v>
      </x:c>
    </x:row>
    <x:row r="13" ht="42" customHeight="1">
      <x:c r="A13" s="15" t="str">
        <x:v>输入来源</x:v>
      </x:c>
      <x:c r="B13" s="19" t="str">
        <x:v>C:\Users\14051\Desktop\shuxuejianmo\附件1.xlsx</x:v>
      </x:c>
    </x:row>
    <x:row r="14" ht="24" customHeight="1">
      <x:c r="A14" s="15" t="str">
        <x:v>原方案电费元</x:v>
      </x:c>
      <x:c r="B14" s="19" t="n">
        <x:v>33801.495642222435</x:v>
      </x:c>
    </x:row>
    <x:row r="15" ht="24" customHeight="1">
      <x:c r="A15" s="15" t="str">
        <x:v>新增硬约束下最低电费元</x:v>
      </x:c>
      <x:c r="B15" s="19" t="n">
        <x:v>34080.95139956881</x:v>
      </x:c>
    </x:row>
    <x:row r="16" ht="24" customHeight="1">
      <x:c r="A16" s="15" t="str">
        <x:v>修订后最终电费元</x:v>
      </x:c>
      <x:c r="B16" s="19" t="n">
        <x:f>'计算明细'!L146</x:f>
        <x:v>34115.03245096839</x:v>
      </x:c>
    </x:row>
    <x:row r="17" ht="24" customHeight="1">
      <x:c r="A17" s="15" t="str">
        <x:v>相对原方案增加元</x:v>
      </x:c>
      <x:c r="B17" s="19" t="n">
        <x:f>B16-B14</x:f>
        <x:v>313.5368087459574</x:v>
      </x:c>
    </x:row>
    <x:row r="18" ht="24" customHeight="1">
      <x:c r="A18" s="15" t="str">
        <x:v>相对原方案增加比例</x:v>
      </x:c>
      <x:c r="B18" s="22" t="n">
        <x:f>B17/B14</x:f>
        <x:v>0.009275826491958818</x:v>
      </x:c>
    </x:row>
    <x:row r="19" ht="24" customHeight="1">
      <x:c r="A19" s="15" t="str">
        <x:v>功率变差原值kW</x:v>
      </x:c>
      <x:c r="B19" s="19" t="n">
        <x:v>102684.58076649159</x:v>
      </x:c>
    </x:row>
    <x:row r="20" ht="24" customHeight="1">
      <x:c r="A20" s="15" t="str">
        <x:v>功率变差新值kW</x:v>
      </x:c>
      <x:c r="B20" s="19" t="n">
        <x:v>33209.310057608585</x:v>
      </x:c>
    </x:row>
    <x:row r="21" ht="24" customHeight="1">
      <x:c r="A21" s="15" t="str">
        <x:v>启动次数原值</x:v>
      </x:c>
      <x:c r="B21" s="19" t="n">
        <x:v>12</x:v>
      </x:c>
    </x:row>
    <x:row r="22" ht="24" customHeight="1">
      <x:c r="A22" s="15" t="str">
        <x:v>启动次数新值</x:v>
      </x:c>
      <x:c r="B22" s="19" t="n">
        <x:v>4</x:v>
      </x:c>
    </x:row>
    <x:row r="23" ht="24" customHeight="1">
      <x:c r="A23" s="15" t="str">
        <x:v>新方案短于30分钟片段数</x:v>
      </x:c>
      <x:c r="B23" s="19" t="n">
        <x:v>0</x:v>
      </x:c>
    </x:row>
    <x:row r="24" ht="24" customHeight="1">
      <x:c r="A24" s="15" t="str">
        <x:v>新方案小于50kW活动时段数</x:v>
      </x:c>
      <x:c r="B24" s="19" t="n">
        <x:v>0</x:v>
      </x:c>
    </x:row>
    <x:row r="25" ht="44" customHeight="1">
      <x:c r="A25" s="15" t="str">
        <x:v>选择理由</x:v>
      </x:c>
      <x:c r="B25" s="19" t="str">
        <x:v>δ=0.1%消除本次低功率连接状态；λ=0.25至16第二层实际指标基本相同，采用等权λ=1，不声称唯一最优。</x:v>
      </x:c>
    </x:row>
    <x:row r="26" ht="44" customHeight="1">
      <x:c r="A26" s="15" t="str">
        <x:v>敏感性范围</x:v>
      </x:c>
      <x:c r="B26" s="19" t="str">
        <x:v>固定本表硬运行约束，δ取0、0.1%、0.5%；λ取0.25、1、4、16，共12组。</x:v>
      </x:c>
    </x:row>
    <x:row r="27" ht="44" customHeight="1">
      <x:c r="A27" s="15" t="str">
        <x:v>第三层容差提示</x:v>
      </x:c>
      <x:c r="B27" s="19" t="str">
        <x:v>F2容差固定1e-7；不同λ下最终细小差异可能来自容差，应比较第二层实际指标。</x:v>
      </x:c>
    </x:row>
    <x:row r="28" ht="44" customHeight="1">
      <x:c r="A28" s="15" t="str">
        <x:v>寿命结论边界</x:v>
      </x:c>
      <x:c r="B28" s="19" t="str">
        <x:v>启动/变差为运行代理指标；未校准寿命模型，不换算寿命延长比例。</x:v>
      </x:c>
    </x:row>
    <x:row r="29" ht="44" customHeight="1">
      <x:c r="A29" s="15" t="str">
        <x:v>旧Word状态</x:v>
      </x:c>
      <x:c r="B29" s="19" t="str">
        <x:v>旧文章对应原模型，不能与本修订结果混用；本次未改写Word。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</x:cols>
  <x:sheetData>
    <x:row r="1" ht="40" customHeight="1">
      <x:c r="A1" s="20" t="str">
        <x:v>δ</x:v>
      </x:c>
      <x:c r="B1" s="20" t="str">
        <x:v>λ</x:v>
      </x:c>
      <x:c r="C1" s="20" t="str">
        <x:v>状态</x:v>
      </x:c>
      <x:c r="D1" s="20" t="str">
        <x:v>最低电费元</x:v>
      </x:c>
      <x:c r="E1" s="20" t="str">
        <x:v>最终电费元</x:v>
      </x:c>
      <x:c r="F1" s="20" t="str">
        <x:v>第二层变差kW</x:v>
      </x:c>
      <x:c r="G1" s="20" t="str">
        <x:v>最终变差kW</x:v>
      </x:c>
      <x:c r="H1" s="20" t="str">
        <x:v>启动次数</x:v>
      </x:c>
      <x:c r="I1" s="20" t="str">
        <x:v>短片段数</x:v>
      </x:c>
      <x:c r="J1" s="20" t="str">
        <x:v>低功率时段数</x:v>
      </x:c>
      <x:c r="K1" s="20" t="str">
        <x:v>最大变化kW</x:v>
      </x:c>
      <x:c r="L1" s="20" t="str">
        <x:v>购电量kWh</x:v>
      </x:c>
    </x:row>
    <x:row r="2" ht="24" customHeight="1">
      <x:c r="A2" s="13" t="n">
        <x:v>0</x:v>
      </x:c>
      <x:c r="B2" s="15" t="n">
        <x:v>0.25</x:v>
      </x:c>
      <x:c r="C2" s="15" t="str">
        <x:v>OK</x:v>
      </x:c>
      <x:c r="D2" s="15" t="n">
        <x:v>34080.95139956881</x:v>
      </x:c>
      <x:c r="E2" s="15" t="n">
        <x:v>34080.95149956881</x:v>
      </x:c>
      <x:c r="F2" s="15" t="n">
        <x:v>50937.27840844348</x:v>
      </x:c>
      <x:c r="G2" s="15" t="n">
        <x:v>50937.85438429039</x:v>
      </x:c>
      <x:c r="H2" s="15" t="n">
        <x:v>6</x:v>
      </x:c>
      <x:c r="I2" s="15" t="n">
        <x:v>0</x:v>
      </x:c>
      <x:c r="J2" s="15" t="n">
        <x:v>4</x:v>
      </x:c>
      <x:c r="K2" s="15" t="n">
        <x:v>1000.0000000000118</x:v>
      </x:c>
      <x:c r="L2" s="15" t="n">
        <x:v>57572.39608350599</x:v>
      </x:c>
    </x:row>
    <x:row r="3" ht="24" customHeight="1">
      <x:c r="A3" s="13" t="n">
        <x:v>0</x:v>
      </x:c>
      <x:c r="B3" s="15" t="n">
        <x:v>1</x:v>
      </x:c>
      <x:c r="C3" s="15" t="str">
        <x:v>OK</x:v>
      </x:c>
      <x:c r="D3" s="15" t="n">
        <x:v>34080.95139956881</x:v>
      </x:c>
      <x:c r="E3" s="15" t="n">
        <x:v>34080.95149956881</x:v>
      </x:c>
      <x:c r="F3" s="15" t="n">
        <x:v>50937.278408355916</x:v>
      </x:c>
      <x:c r="G3" s="15" t="n">
        <x:v>50937.42240836223</x:v>
      </x:c>
      <x:c r="H3" s="15" t="n">
        <x:v>6</x:v>
      </x:c>
      <x:c r="I3" s="15" t="n">
        <x:v>0</x:v>
      </x:c>
      <x:c r="J3" s="15" t="n">
        <x:v>4</x:v>
      </x:c>
      <x:c r="K3" s="15" t="n">
        <x:v>1000.0000000000102</x:v>
      </x:c>
      <x:c r="L3" s="15" t="n">
        <x:v>57572.39624264855</x:v>
      </x:c>
    </x:row>
    <x:row r="4" ht="24" customHeight="1">
      <x:c r="A4" s="13" t="n">
        <x:v>0</x:v>
      </x:c>
      <x:c r="B4" s="15" t="n">
        <x:v>4</x:v>
      </x:c>
      <x:c r="C4" s="15" t="str">
        <x:v>OK</x:v>
      </x:c>
      <x:c r="D4" s="15" t="n">
        <x:v>34080.95139956881</x:v>
      </x:c>
      <x:c r="E4" s="15" t="n">
        <x:v>34080.9514995688</x:v>
      </x:c>
      <x:c r="F4" s="15" t="n">
        <x:v>50937.278409784485</x:v>
      </x:c>
      <x:c r="G4" s="15" t="n">
        <x:v>50937.31440963967</x:v>
      </x:c>
      <x:c r="H4" s="15" t="n">
        <x:v>6</x:v>
      </x:c>
      <x:c r="I4" s="15" t="n">
        <x:v>0</x:v>
      </x:c>
      <x:c r="J4" s="15" t="n">
        <x:v>4</x:v>
      </x:c>
      <x:c r="K4" s="15" t="n">
        <x:v>1000.0000000000102</x:v>
      </x:c>
      <x:c r="L4" s="15" t="n">
        <x:v>57572.39628243579</x:v>
      </x:c>
    </x:row>
    <x:row r="5" ht="24" customHeight="1">
      <x:c r="A5" s="13" t="n">
        <x:v>0</x:v>
      </x:c>
      <x:c r="B5" s="15" t="n">
        <x:v>16</x:v>
      </x:c>
      <x:c r="C5" s="15" t="str">
        <x:v>OK</x:v>
      </x:c>
      <x:c r="D5" s="15" t="n">
        <x:v>34080.95139956881</x:v>
      </x:c>
      <x:c r="E5" s="15" t="n">
        <x:v>34080.95149956881</x:v>
      </x:c>
      <x:c r="F5" s="15" t="n">
        <x:v>50937.27828780775</x:v>
      </x:c>
      <x:c r="G5" s="15" t="n">
        <x:v>50937.28725902122</x:v>
      </x:c>
      <x:c r="H5" s="15" t="n">
        <x:v>6</x:v>
      </x:c>
      <x:c r="I5" s="15" t="n">
        <x:v>0</x:v>
      </x:c>
      <x:c r="J5" s="15" t="n">
        <x:v>4</x:v>
      </x:c>
      <x:c r="K5" s="15" t="n">
        <x:v>1000.0000000000102</x:v>
      </x:c>
      <x:c r="L5" s="15" t="n">
        <x:v>57572.3962924381</x:v>
      </x:c>
    </x:row>
    <x:row r="6" ht="24" customHeight="1">
      <x:c r="A6" s="13" t="n">
        <x:v>0.001</x:v>
      </x:c>
      <x:c r="B6" s="15" t="n">
        <x:v>0.25</x:v>
      </x:c>
      <x:c r="C6" s="15" t="str">
        <x:v>OK</x:v>
      </x:c>
      <x:c r="D6" s="15" t="n">
        <x:v>34080.95139956881</x:v>
      </x:c>
      <x:c r="E6" s="15" t="n">
        <x:v>34115.03245096839</x:v>
      </x:c>
      <x:c r="F6" s="15" t="n">
        <x:v>33209.16605760982</x:v>
      </x:c>
      <x:c r="G6" s="15" t="n">
        <x:v>33209.742057461524</x:v>
      </x:c>
      <x:c r="H6" s="15" t="n">
        <x:v>4</x:v>
      </x:c>
      <x:c r="I6" s="15" t="n">
        <x:v>0</x:v>
      </x:c>
      <x:c r="J6" s="15" t="n">
        <x:v>0</x:v>
      </x:c>
      <x:c r="K6" s="15" t="n">
        <x:v>1000.0000000000102</x:v>
      </x:c>
      <x:c r="L6" s="15" t="n">
        <x:v>57560.58508319663</x:v>
      </x:c>
    </x:row>
    <x:row r="7" ht="24" customHeight="1">
      <x:c r="A7" s="13" t="n">
        <x:v>0.001</x:v>
      </x:c>
      <x:c r="B7" s="15" t="n">
        <x:v>1</x:v>
      </x:c>
      <x:c r="C7" s="15" t="str">
        <x:v>OK</x:v>
      </x:c>
      <x:c r="D7" s="15" t="n">
        <x:v>34080.95139956881</x:v>
      </x:c>
      <x:c r="E7" s="15" t="n">
        <x:v>34115.03245096838</x:v>
      </x:c>
      <x:c r="F7" s="15" t="n">
        <x:v>33209.16605760826</x:v>
      </x:c>
      <x:c r="G7" s="15" t="n">
        <x:v>33209.310057608585</x:v>
      </x:c>
      <x:c r="H7" s="15" t="n">
        <x:v>4</x:v>
      </x:c>
      <x:c r="I7" s="15" t="n">
        <x:v>0</x:v>
      </x:c>
      <x:c r="J7" s="15" t="n">
        <x:v>0</x:v>
      </x:c>
      <x:c r="K7" s="15" t="n">
        <x:v>1000.0000000000095</x:v>
      </x:c>
      <x:c r="L7" s="15" t="n">
        <x:v>57560.616076741775</x:v>
      </x:c>
    </x:row>
    <x:row r="8" ht="24" customHeight="1">
      <x:c r="A8" s="13" t="n">
        <x:v>0.001</x:v>
      </x:c>
      <x:c r="B8" s="15" t="n">
        <x:v>4</x:v>
      </x:c>
      <x:c r="C8" s="15" t="str">
        <x:v>OK</x:v>
      </x:c>
      <x:c r="D8" s="15" t="n">
        <x:v>34080.95139956881</x:v>
      </x:c>
      <x:c r="E8" s="15" t="n">
        <x:v>34115.0324509684</x:v>
      </x:c>
      <x:c r="F8" s="15" t="n">
        <x:v>33209.16605760973</x:v>
      </x:c>
      <x:c r="G8" s="15" t="n">
        <x:v>33209.2020576083</x:v>
      </x:c>
      <x:c r="H8" s="15" t="n">
        <x:v>4</x:v>
      </x:c>
      <x:c r="I8" s="15" t="n">
        <x:v>0</x:v>
      </x:c>
      <x:c r="J8" s="15" t="n">
        <x:v>0</x:v>
      </x:c>
      <x:c r="K8" s="15" t="n">
        <x:v>1000.0000000000102</x:v>
      </x:c>
      <x:c r="L8" s="15" t="n">
        <x:v>57560.63434442695</x:v>
      </x:c>
    </x:row>
    <x:row r="9" ht="24" customHeight="1">
      <x:c r="A9" s="13" t="n">
        <x:v>0.001</x:v>
      </x:c>
      <x:c r="B9" s="15" t="n">
        <x:v>16</x:v>
      </x:c>
      <x:c r="C9" s="15" t="str">
        <x:v>OK</x:v>
      </x:c>
      <x:c r="D9" s="15" t="n">
        <x:v>34080.95139956881</x:v>
      </x:c>
      <x:c r="E9" s="15" t="n">
        <x:v>34115.032450968385</x:v>
      </x:c>
      <x:c r="F9" s="15" t="n">
        <x:v>33209.16605760978</x:v>
      </x:c>
      <x:c r="G9" s="15" t="n">
        <x:v>33209.17505760451</x:v>
      </x:c>
      <x:c r="H9" s="15" t="n">
        <x:v>4</x:v>
      </x:c>
      <x:c r="I9" s="15" t="n">
        <x:v>0</x:v>
      </x:c>
      <x:c r="J9" s="15" t="n">
        <x:v>0</x:v>
      </x:c>
      <x:c r="K9" s="15" t="n">
        <x:v>1000.0000000000102</x:v>
      </x:c>
      <x:c r="L9" s="15" t="n">
        <x:v>57560.641439022744</x:v>
      </x:c>
    </x:row>
    <x:row r="10" ht="24" customHeight="1">
      <x:c r="A10" s="13" t="n">
        <x:v>0.005</x:v>
      </x:c>
      <x:c r="B10" s="15" t="n">
        <x:v>0.25</x:v>
      </x:c>
      <x:c r="C10" s="15" t="str">
        <x:v>OK</x:v>
      </x:c>
      <x:c r="D10" s="15" t="n">
        <x:v>34080.95139956881</x:v>
      </x:c>
      <x:c r="E10" s="15" t="n">
        <x:v>34251.35625656666</x:v>
      </x:c>
      <x:c r="F10" s="15" t="n">
        <x:v>28513.956883969266</x:v>
      </x:c>
      <x:c r="G10" s="15" t="n">
        <x:v>28514.532883815176</x:v>
      </x:c>
      <x:c r="H10" s="15" t="n">
        <x:v>4</x:v>
      </x:c>
      <x:c r="I10" s="15" t="n">
        <x:v>0</x:v>
      </x:c>
      <x:c r="J10" s="15" t="n">
        <x:v>0</x:v>
      </x:c>
      <x:c r="K10" s="15" t="n">
        <x:v>1000.0000000000057</x:v>
      </x:c>
      <x:c r="L10" s="15" t="n">
        <x:v>57514.99266835542</x:v>
      </x:c>
    </x:row>
    <x:row r="11" ht="24" customHeight="1">
      <x:c r="A11" s="13" t="n">
        <x:v>0.005</x:v>
      </x:c>
      <x:c r="B11" s="15" t="n">
        <x:v>1</x:v>
      </x:c>
      <x:c r="C11" s="15" t="str">
        <x:v>OK</x:v>
      </x:c>
      <x:c r="D11" s="15" t="n">
        <x:v>34080.95139956881</x:v>
      </x:c>
      <x:c r="E11" s="15" t="n">
        <x:v>34251.35625656666</x:v>
      </x:c>
      <x:c r="F11" s="15" t="n">
        <x:v>28513.620061763475</x:v>
      </x:c>
      <x:c r="G11" s="15" t="n">
        <x:v>28513.764061795784</x:v>
      </x:c>
      <x:c r="H11" s="15" t="n">
        <x:v>4</x:v>
      </x:c>
      <x:c r="I11" s="15" t="n">
        <x:v>0</x:v>
      </x:c>
      <x:c r="J11" s="15" t="n">
        <x:v>0</x:v>
      </x:c>
      <x:c r="K11" s="15" t="n">
        <x:v>1000.0000000000082</x:v>
      </x:c>
      <x:c r="L11" s="15" t="n">
        <x:v>57516.32296121089</x:v>
      </x:c>
    </x:row>
    <x:row r="12" ht="24" customHeight="1">
      <x:c r="A12" s="13" t="n">
        <x:v>0.005</x:v>
      </x:c>
      <x:c r="B12" s="15" t="n">
        <x:v>4</x:v>
      </x:c>
      <x:c r="C12" s="15" t="str">
        <x:v>OK</x:v>
      </x:c>
      <x:c r="D12" s="15" t="n">
        <x:v>34080.95139956881</x:v>
      </x:c>
      <x:c r="E12" s="15" t="n">
        <x:v>34251.35625656668</x:v>
      </x:c>
      <x:c r="F12" s="15" t="n">
        <x:v>28513.35428247218</x:v>
      </x:c>
      <x:c r="G12" s="15" t="n">
        <x:v>28513.390282343353</x:v>
      </x:c>
      <x:c r="H12" s="15" t="n">
        <x:v>4</x:v>
      </x:c>
      <x:c r="I12" s="15" t="n">
        <x:v>0</x:v>
      </x:c>
      <x:c r="J12" s="15" t="n">
        <x:v>0</x:v>
      </x:c>
      <x:c r="K12" s="15" t="n">
        <x:v>1000.0000000000036</x:v>
      </x:c>
      <x:c r="L12" s="15" t="n">
        <x:v>57516.98932531066</x:v>
      </x:c>
    </x:row>
    <x:row r="13" ht="24" customHeight="1">
      <x:c r="A13" s="13" t="n">
        <x:v>0.005</x:v>
      </x:c>
      <x:c r="B13" s="15" t="n">
        <x:v>16</x:v>
      </x:c>
      <x:c r="C13" s="15" t="str">
        <x:v>OK</x:v>
      </x:c>
      <x:c r="D13" s="15" t="n">
        <x:v>34080.95139956881</x:v>
      </x:c>
      <x:c r="E13" s="15" t="n">
        <x:v>34251.35625656665</x:v>
      </x:c>
      <x:c r="F13" s="15" t="n">
        <x:v>28513.354282470096</x:v>
      </x:c>
      <x:c r="G13" s="15" t="n">
        <x:v>28513.36328247011</x:v>
      </x:c>
      <x:c r="H13" s="15" t="n">
        <x:v>4</x:v>
      </x:c>
      <x:c r="I13" s="15" t="n">
        <x:v>0</x:v>
      </x:c>
      <x:c r="J13" s="15" t="n">
        <x:v>0</x:v>
      </x:c>
      <x:c r="K13" s="15" t="n">
        <x:v>1000.000000000008</x:v>
      </x:c>
      <x:c r="L13" s="15" t="n">
        <x:v>57517.08615979164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</x:cols>
  <x:sheetData>
    <x:row r="1" ht="24" customHeight="1">
      <x:c r="A1" s="17" t="str">
        <x:v>区间起点</x:v>
      </x:c>
      <x:c r="B1" s="17" t="str">
        <x:v>原充电kW</x:v>
      </x:c>
      <x:c r="C1" s="17" t="str">
        <x:v>新充电kW</x:v>
      </x:c>
      <x:c r="D1" s="17" t="str">
        <x:v>原购电kW</x:v>
      </x:c>
      <x:c r="E1" s="17" t="str">
        <x:v>新购电kW</x:v>
      </x:c>
      <x:c r="F1" s="17" t="str">
        <x:v>电价元/kWh</x:v>
      </x:c>
    </x:row>
    <x:row r="2" ht="24" customHeight="1">
      <x:c r="A2" s="15" t="str">
        <x:v>21:40</x:v>
      </x:c>
      <x:c r="B2" s="15" t="n">
        <x:v>0</x:v>
      </x:c>
      <x:c r="C2" s="15" t="n">
        <x:f>'计算明细'!F132</x:f>
        <x:v>0</x:v>
      </x:c>
      <x:c r="D2" s="15" t="n">
        <x:v>4030.1614</x:v>
      </x:c>
      <x:c r="E2" s="15" t="n">
        <x:f>'计算明细'!E132</x:f>
        <x:v>4030.1614000000045</x:v>
      </x:c>
      <x:c r="F2" s="15" t="n">
        <x:v>0.7764</x:v>
      </x:c>
    </x:row>
    <x:row r="3" ht="24" customHeight="1">
      <x:c r="A3" s="15" t="str">
        <x:v>21:50</x:v>
      </x:c>
      <x:c r="B3" s="15" t="n">
        <x:v>4999.999999999995</x:v>
      </x:c>
      <x:c r="C3" s="15" t="n">
        <x:f>'计算明细'!F133</x:f>
        <x:v>1000.0000000000082</x:v>
      </x:c>
      <x:c r="D3" s="15" t="n">
        <x:v>8362.741899999994</x:v>
      </x:c>
      <x:c r="E3" s="15" t="n">
        <x:f>'计算明细'!E133</x:f>
        <x:v>4362.7419000000045</x:v>
      </x:c>
      <x:c r="F3" s="15" t="n">
        <x:v>0.4209</x:v>
      </x:c>
    </x:row>
    <x:row r="4" ht="24" customHeight="1">
      <x:c r="A4" s="15" t="str">
        <x:v>22:00</x:v>
      </x:c>
      <x:c r="B4" s="15" t="n">
        <x:v>5000.000000000016</x:v>
      </x:c>
      <x:c r="C4" s="15" t="n">
        <x:f>'计算明细'!F134</x:f>
        <x:v>2000.0000000000255</x:v>
      </x:c>
      <x:c r="D4" s="15" t="n">
        <x:v>8309.393399999992</x:v>
      </x:c>
      <x:c r="E4" s="15" t="n">
        <x:f>'计算明细'!E134</x:f>
        <x:v>5309.3934000000045</x:v>
      </x:c>
      <x:c r="F4" s="15" t="n">
        <x:v>0.3859</x:v>
      </x:c>
    </x:row>
    <x:row r="5" ht="24" customHeight="1">
      <x:c r="A5" s="15" t="str">
        <x:v>22:10</x:v>
      </x:c>
      <x:c r="B5" s="15" t="n">
        <x:v>0</x:v>
      </x:c>
      <x:c r="C5" s="15" t="n">
        <x:f>'计算明细'!F135</x:f>
        <x:v>1999.999999999989</x:v>
      </x:c>
      <x:c r="D5" s="15" t="n">
        <x:v>3412.956299999988</x:v>
      </x:c>
      <x:c r="E5" s="15" t="n">
        <x:f>'计算明细'!E135</x:f>
        <x:v>5412.956300000004</x:v>
      </x:c>
      <x:c r="F5" s="15" t="n">
        <x:v>0.4368</x:v>
      </x:c>
    </x:row>
    <x:row r="6" ht="24" customHeight="1">
      <x:c r="A6" s="15" t="str">
        <x:v>22:20</x:v>
      </x:c>
      <x:c r="B6" s="15" t="n">
        <x:v>4999.999999999975</x:v>
      </x:c>
      <x:c r="C6" s="15" t="n">
        <x:f>'计算明细'!F136</x:f>
        <x:v>2535.786553761643</x:v>
      </x:c>
      <x:c r="D6" s="15" t="n">
        <x:v>8381.931299999995</x:v>
      </x:c>
      <x:c r="E6" s="15" t="n">
        <x:f>'计算明细'!E136</x:f>
        <x:v>5917.717853761644</x:v>
      </x:c>
      <x:c r="F6" s="15" t="n">
        <x:v>0.4198</x:v>
      </x:c>
    </x:row>
    <x:row r="7" ht="24" customHeight="1">
      <x:c r="A7" s="15" t="str">
        <x:v>22:30</x:v>
      </x:c>
      <x:c r="B7" s="15" t="n">
        <x:v>4999.99999999998</x:v>
      </x:c>
      <x:c r="C7" s="15" t="n">
        <x:f>'计算明细'!F137</x:f>
        <x:v>2535.786553761666</x:v>
      </x:c>
      <x:c r="D7" s="15" t="n">
        <x:v>8386.559199999985</x:v>
      </x:c>
      <x:c r="E7" s="15" t="n">
        <x:f>'计算明细'!E137</x:f>
        <x:v>5922.345753761642</x:v>
      </x:c>
      <x:c r="F7" s="15" t="n">
        <x:v>0.4186</x:v>
      </x:c>
    </x:row>
    <x:row r="8" ht="24" customHeight="1">
      <x:c r="A8" s="15" t="str">
        <x:v>22:40</x:v>
      </x:c>
      <x:c r="B8" s="15" t="n">
        <x:v>5.927847972188824</x:v>
      </x:c>
      <x:c r="C8" s="15" t="n">
        <x:f>'计算明细'!F138</x:f>
        <x:v>2535.7865537616176</x:v>
      </x:c>
      <x:c r="D8" s="15" t="n">
        <x:v>3406.412447972204</x:v>
      </x:c>
      <x:c r="E8" s="15" t="n">
        <x:f>'计算明细'!E138</x:f>
        <x:v>5936.271153761643</x:v>
      </x:c>
      <x:c r="F8" s="15" t="n">
        <x:v>0.4241</x:v>
      </x:c>
    </x:row>
    <x:row r="9" ht="24" customHeight="1">
      <x:c r="A9" s="15" t="str">
        <x:v>22:50</x:v>
      </x:c>
      <x:c r="B9" s="15" t="n">
        <x:v>5000.000000000085</x:v>
      </x:c>
      <x:c r="C9" s="15" t="n">
        <x:f>'计算明细'!F139</x:f>
        <x:v>2535.7865537616367</x:v>
      </x:c>
      <x:c r="D9" s="15" t="n">
        <x:v>8399.24260000003</x:v>
      </x:c>
      <x:c r="E9" s="15" t="n">
        <x:f>'计算明细'!E139</x:f>
        <x:v>5935.029153761643</x:v>
      </x:c>
      <x:c r="F9" s="15" t="n">
        <x:v>0.4237</x:v>
      </x:c>
    </x:row>
    <x:row r="10" ht="24" customHeight="1">
      <x:c r="A10" s="15" t="str">
        <x:v>23:00</x:v>
      </x:c>
      <x:c r="B10" s="15" t="n">
        <x:v>0</x:v>
      </x:c>
      <x:c r="C10" s="15" t="n">
        <x:f>'计算明细'!F140</x:f>
        <x:v>2535.7865537616626</x:v>
      </x:c>
      <x:c r="D10" s="15" t="n">
        <x:v>3406.980900000002</x:v>
      </x:c>
      <x:c r="E10" s="15" t="n">
        <x:f>'计算明细'!E140</x:f>
        <x:v>5942.767453761643</x:v>
      </x:c>
      <x:c r="F10" s="15" t="n">
        <x:v>0.4248</x:v>
      </x:c>
    </x:row>
    <x:row r="11" ht="24" customHeight="1">
      <x:c r="A11" s="15" t="str">
        <x:v>23:10</x:v>
      </x:c>
      <x:c r="B11" s="15" t="n">
        <x:v>0.9999999999808997</x:v>
      </x:c>
      <x:c r="C11" s="15" t="n">
        <x:f>'计算明细'!F141</x:f>
        <x:v>2535.7865537616367</x:v>
      </x:c>
      <x:c r="D11" s="15" t="n">
        <x:v>3417.151799999996</x:v>
      </x:c>
      <x:c r="E11" s="15" t="n">
        <x:f>'计算明细'!E141</x:f>
        <x:v>5951.938353761643</x:v>
      </x:c>
      <x:c r="F11" s="15" t="n">
        <x:v>0.424</x:v>
      </x:c>
    </x:row>
    <x:row r="12" ht="24" customHeight="1">
      <x:c r="A12" s="15" t="str">
        <x:v>23:20</x:v>
      </x:c>
      <x:c r="B12" s="15" t="n">
        <x:v>5000.000000000046</x:v>
      </x:c>
      <x:c r="C12" s="15" t="n">
        <x:f>'计算明细'!F142</x:f>
        <x:v>2535.7865537616553</x:v>
      </x:c>
      <x:c r="D12" s="15" t="n">
        <x:v>8421.981099999995</x:v>
      </x:c>
      <x:c r="E12" s="15" t="n">
        <x:f>'计算明细'!E142</x:f>
        <x:v>5957.767653761643</x:v>
      </x:c>
      <x:c r="F12" s="15" t="n">
        <x:v>0.422</x:v>
      </x:c>
    </x:row>
    <x:row r="13" ht="24" customHeight="1">
      <x:c r="A13" s="15" t="str">
        <x:v>23:30</x:v>
      </x:c>
      <x:c r="B13" s="15" t="n">
        <x:v>350.9376896443346</x:v>
      </x:c>
      <x:c r="C13" s="15" t="n">
        <x:f>'计算明细'!F143</x:f>
        <x:v>2535.78655376166</x:v>
      </x:c>
      <x:c r="D13" s="15" t="n">
        <x:v>3780.629989644243</x:v>
      </x:c>
      <x:c r="E13" s="15" t="n">
        <x:f>'计算明细'!E143</x:f>
        <x:v>5965.478853761643</x:v>
      </x:c>
      <x:c r="F13" s="15" t="n">
        <x:v>0.424</x:v>
      </x:c>
    </x:row>
    <x:row r="14" ht="24" customHeight="1">
      <x:c r="A14" s="15" t="str">
        <x:v>23:40</x:v>
      </x:c>
      <x:c r="B14" s="15" t="n">
        <x:v>0</x:v>
      </x:c>
      <x:c r="C14" s="15" t="n">
        <x:f>'计算明细'!F144</x:f>
        <x:v>2535.786553761612</x:v>
      </x:c>
      <x:c r="D14" s="15" t="n">
        <x:v>3439.061000000045</x:v>
      </x:c>
      <x:c r="E14" s="15" t="n">
        <x:f>'计算明细'!E144</x:f>
        <x:v>5974.847553761643</x:v>
      </x:c>
      <x:c r="F14" s="15" t="n">
        <x:v>0.4271</x:v>
      </x:c>
    </x:row>
    <x:row r="15" ht="24" customHeight="1">
      <x:c r="A15" s="15" t="str">
        <x:v>23:50</x:v>
      </x:c>
      <x:c r="B15" s="15" t="n">
        <x:v>0</x:v>
      </x:c>
      <x:c r="C15" s="15" t="n">
        <x:f>'计算明细'!F145</x:f>
        <x:v>2535.786553761643</x:v>
      </x:c>
      <x:c r="D15" s="15" t="n">
        <x:v>3444.7259</x:v>
      </x:c>
      <x:c r="E15" s="15" t="n">
        <x:f>'计算明细'!E145</x:f>
        <x:v>5980.512453761643</x:v>
      </x:c>
      <x:c r="F15" s="15" t="n">
        <x:v>0.4276</x:v>
      </x:c>
    </x:row>
    <x:row r="16" ht="24" customHeight="1">
      <x:c r="A16" s="15"/>
      <x:c r="B16" s="15"/>
      <x:c r="C16" s="15"/>
      <x:c r="D16" s="15"/>
      <x:c r="E16" s="15"/>
      <x:c r="F16" s="15"/>
    </x:row>
    <x:row r="17" ht="24" customHeight="1">
      <x:c r="A17" s="19" t="str">
        <x:v>曲线连接区间平均功率点，不代表区间内连续实测轨迹；购电功率单位为kW，不是kWh。</x:v>
      </x:c>
      <x:c r="B17" s="19"/>
      <x:c r="C17" s="19"/>
      <x:c r="D17" s="19"/>
      <x:c r="E17" s="19"/>
      <x:c r="F17" s="19"/>
    </x:row>
    <x:row r="18" ht="24" customHeight="1">
      <x:c r="A18" s="19"/>
      <x:c r="B18" s="19"/>
      <x:c r="C18" s="19"/>
      <x:c r="D18" s="19"/>
      <x:c r="E18" s="19"/>
      <x:c r="F18" s="19"/>
    </x:row>
  </x:sheetData>
  <x:mergeCells>
    <x:mergeCell ref="A17:F18"/>
  </x:mergeCells>
  <x:pageMargins left="0.7" right="0.7" top="0.75" bottom="0.75" header="0.3" footer="0.3"/>
  <x:drawing xmlns:r="http://schemas.openxmlformats.org/officeDocument/2006/relationships" r:id="Rb3f6fb8844ed4294"/>
</x:worksheet>
</file>