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4051\Desktop\shuxuejianmo\"/>
    </mc:Choice>
  </mc:AlternateContent>
  <xr:revisionPtr revIDLastSave="0" documentId="13_ncr:1_{15D92A3B-4A0A-425C-AA89-8C6B3B734159}" xr6:coauthVersionLast="47" xr6:coauthVersionMax="47" xr10:uidLastSave="{00000000-0000-0000-0000-000000000000}"/>
  <bookViews>
    <workbookView xWindow="11940" yWindow="2400" windowWidth="12790" windowHeight="12390" xr2:uid="{00000000-000D-0000-FFFF-FFFF00000000}"/>
  </bookViews>
  <sheets>
    <sheet name="计划购电量" sheetId="1" r:id="rId1"/>
    <sheet name="充放电量" sheetId="2" r:id="rId2"/>
    <sheet name="计算明细" sheetId="3" r:id="rId3"/>
    <sheet name="求解核验" sheetId="4" r:id="rId4"/>
  </sheets>
  <calcPr calcId="191029"/>
</workbook>
</file>

<file path=xl/calcChain.xml><?xml version="1.0" encoding="utf-8"?>
<calcChain xmlns="http://schemas.openxmlformats.org/spreadsheetml/2006/main">
  <c r="K145" i="3" l="1"/>
  <c r="L145" i="3" s="1"/>
  <c r="K144" i="3"/>
  <c r="L144" i="3" s="1"/>
  <c r="K143" i="3"/>
  <c r="L143" i="3" s="1"/>
  <c r="K142" i="3"/>
  <c r="L142" i="3" s="1"/>
  <c r="K141" i="3"/>
  <c r="L141" i="3" s="1"/>
  <c r="K140" i="3"/>
  <c r="L140" i="3" s="1"/>
  <c r="K139" i="3"/>
  <c r="L139" i="3" s="1"/>
  <c r="K138" i="3"/>
  <c r="L138" i="3" s="1"/>
  <c r="K137" i="3"/>
  <c r="L137" i="3" s="1"/>
  <c r="K136" i="3"/>
  <c r="L136" i="3" s="1"/>
  <c r="K135" i="3"/>
  <c r="L135" i="3" s="1"/>
  <c r="K134" i="3"/>
  <c r="L134" i="3" s="1"/>
  <c r="K133" i="3"/>
  <c r="L133" i="3" s="1"/>
  <c r="K132" i="3"/>
  <c r="L132" i="3" s="1"/>
  <c r="K131" i="3"/>
  <c r="L131" i="3" s="1"/>
  <c r="K130" i="3"/>
  <c r="L130" i="3" s="1"/>
  <c r="K129" i="3"/>
  <c r="L129" i="3" s="1"/>
  <c r="K128" i="3"/>
  <c r="L128" i="3" s="1"/>
  <c r="K127" i="3"/>
  <c r="L127" i="3" s="1"/>
  <c r="K126" i="3"/>
  <c r="L126" i="3" s="1"/>
  <c r="K125" i="3"/>
  <c r="L125" i="3" s="1"/>
  <c r="K124" i="3"/>
  <c r="L124" i="3" s="1"/>
  <c r="K123" i="3"/>
  <c r="L123" i="3" s="1"/>
  <c r="K122" i="3"/>
  <c r="L122" i="3" s="1"/>
  <c r="K121" i="3"/>
  <c r="L121" i="3" s="1"/>
  <c r="K120" i="3"/>
  <c r="L120" i="3" s="1"/>
  <c r="K119" i="3"/>
  <c r="L119" i="3" s="1"/>
  <c r="K118" i="3"/>
  <c r="L118" i="3" s="1"/>
  <c r="K117" i="3"/>
  <c r="L117" i="3" s="1"/>
  <c r="K116" i="3"/>
  <c r="L116" i="3" s="1"/>
  <c r="K115" i="3"/>
  <c r="L115" i="3" s="1"/>
  <c r="K114" i="3"/>
  <c r="L114" i="3" s="1"/>
  <c r="L113" i="3"/>
  <c r="K113" i="3"/>
  <c r="K112" i="3"/>
  <c r="L112" i="3" s="1"/>
  <c r="K111" i="3"/>
  <c r="L111" i="3" s="1"/>
  <c r="K110" i="3"/>
  <c r="L110" i="3" s="1"/>
  <c r="L109" i="3"/>
  <c r="K109" i="3"/>
  <c r="K108" i="3"/>
  <c r="L108" i="3" s="1"/>
  <c r="K107" i="3"/>
  <c r="L107" i="3" s="1"/>
  <c r="K106" i="3"/>
  <c r="L106" i="3" s="1"/>
  <c r="K105" i="3"/>
  <c r="L105" i="3" s="1"/>
  <c r="K104" i="3"/>
  <c r="L104" i="3" s="1"/>
  <c r="K103" i="3"/>
  <c r="L103" i="3" s="1"/>
  <c r="K102" i="3"/>
  <c r="L102" i="3" s="1"/>
  <c r="L101" i="3"/>
  <c r="K101" i="3"/>
  <c r="K100" i="3"/>
  <c r="L100" i="3" s="1"/>
  <c r="K99" i="3"/>
  <c r="L99" i="3" s="1"/>
  <c r="K98" i="3"/>
  <c r="L98" i="3" s="1"/>
  <c r="K97" i="3"/>
  <c r="L97" i="3" s="1"/>
  <c r="K96" i="3"/>
  <c r="L96" i="3" s="1"/>
  <c r="K95" i="3"/>
  <c r="L95" i="3" s="1"/>
  <c r="K94" i="3"/>
  <c r="L94" i="3" s="1"/>
  <c r="K93" i="3"/>
  <c r="L93" i="3" s="1"/>
  <c r="K92" i="3"/>
  <c r="L92" i="3" s="1"/>
  <c r="K91" i="3"/>
  <c r="L91" i="3" s="1"/>
  <c r="K90" i="3"/>
  <c r="L90" i="3" s="1"/>
  <c r="K89" i="3"/>
  <c r="L89" i="3" s="1"/>
  <c r="K88" i="3"/>
  <c r="L88" i="3" s="1"/>
  <c r="K87" i="3"/>
  <c r="L87" i="3" s="1"/>
  <c r="L86" i="3"/>
  <c r="K86" i="3"/>
  <c r="K85" i="3"/>
  <c r="L85" i="3" s="1"/>
  <c r="K84" i="3"/>
  <c r="L84" i="3" s="1"/>
  <c r="K83" i="3"/>
  <c r="L83" i="3" s="1"/>
  <c r="K82" i="3"/>
  <c r="L82" i="3" s="1"/>
  <c r="K81" i="3"/>
  <c r="L81" i="3" s="1"/>
  <c r="L80" i="3"/>
  <c r="K80" i="3"/>
  <c r="K79" i="3"/>
  <c r="L79" i="3" s="1"/>
  <c r="K78" i="3"/>
  <c r="L78" i="3" s="1"/>
  <c r="K77" i="3"/>
  <c r="L77" i="3" s="1"/>
  <c r="K76" i="3"/>
  <c r="L76" i="3" s="1"/>
  <c r="K75" i="3"/>
  <c r="L75" i="3" s="1"/>
  <c r="K74" i="3"/>
  <c r="L74" i="3" s="1"/>
  <c r="K73" i="3"/>
  <c r="L73" i="3" s="1"/>
  <c r="K72" i="3"/>
  <c r="L72" i="3" s="1"/>
  <c r="K71" i="3"/>
  <c r="L71" i="3" s="1"/>
  <c r="K70" i="3"/>
  <c r="L70" i="3" s="1"/>
  <c r="K69" i="3"/>
  <c r="L69" i="3" s="1"/>
  <c r="K68" i="3"/>
  <c r="L68" i="3" s="1"/>
  <c r="K67" i="3"/>
  <c r="L67" i="3" s="1"/>
  <c r="K66" i="3"/>
  <c r="L66" i="3" s="1"/>
  <c r="K65" i="3"/>
  <c r="L65" i="3" s="1"/>
  <c r="K64" i="3"/>
  <c r="L64" i="3" s="1"/>
  <c r="K63" i="3"/>
  <c r="L63" i="3" s="1"/>
  <c r="K62" i="3"/>
  <c r="L62" i="3" s="1"/>
  <c r="K61" i="3"/>
  <c r="L61" i="3" s="1"/>
  <c r="K60" i="3"/>
  <c r="L60" i="3" s="1"/>
  <c r="L59" i="3"/>
  <c r="K59" i="3"/>
  <c r="K58" i="3"/>
  <c r="L58" i="3" s="1"/>
  <c r="K57" i="3"/>
  <c r="L57" i="3" s="1"/>
  <c r="K56" i="3"/>
  <c r="L56" i="3" s="1"/>
  <c r="K55" i="3"/>
  <c r="L55" i="3" s="1"/>
  <c r="K54" i="3"/>
  <c r="L54" i="3" s="1"/>
  <c r="K53" i="3"/>
  <c r="L53" i="3" s="1"/>
  <c r="K52" i="3"/>
  <c r="L52" i="3" s="1"/>
  <c r="K51" i="3"/>
  <c r="L51" i="3" s="1"/>
  <c r="K50" i="3"/>
  <c r="L50" i="3" s="1"/>
  <c r="K49" i="3"/>
  <c r="L49" i="3" s="1"/>
  <c r="K48" i="3"/>
  <c r="L48" i="3" s="1"/>
  <c r="K47" i="3"/>
  <c r="L47" i="3" s="1"/>
  <c r="K46" i="3"/>
  <c r="L46" i="3" s="1"/>
  <c r="K45" i="3"/>
  <c r="L45" i="3" s="1"/>
  <c r="K44" i="3"/>
  <c r="L44" i="3" s="1"/>
  <c r="K43" i="3"/>
  <c r="L43" i="3" s="1"/>
  <c r="K42" i="3"/>
  <c r="L42" i="3" s="1"/>
  <c r="K41" i="3"/>
  <c r="L41" i="3" s="1"/>
  <c r="K40" i="3"/>
  <c r="L40" i="3" s="1"/>
  <c r="K39" i="3"/>
  <c r="L39" i="3" s="1"/>
  <c r="K38" i="3"/>
  <c r="L38" i="3" s="1"/>
  <c r="K37" i="3"/>
  <c r="L37" i="3" s="1"/>
  <c r="K36" i="3"/>
  <c r="L36" i="3" s="1"/>
  <c r="K35" i="3"/>
  <c r="L35" i="3" s="1"/>
  <c r="K34" i="3"/>
  <c r="L34" i="3" s="1"/>
  <c r="K33" i="3"/>
  <c r="L33" i="3" s="1"/>
  <c r="K32" i="3"/>
  <c r="L32" i="3" s="1"/>
  <c r="K31" i="3"/>
  <c r="L31" i="3" s="1"/>
  <c r="K30" i="3"/>
  <c r="L30" i="3" s="1"/>
  <c r="K29" i="3"/>
  <c r="L29" i="3" s="1"/>
  <c r="K28" i="3"/>
  <c r="L28" i="3" s="1"/>
  <c r="K27" i="3"/>
  <c r="L27" i="3" s="1"/>
  <c r="K26" i="3"/>
  <c r="L26" i="3" s="1"/>
  <c r="K25" i="3"/>
  <c r="L25" i="3" s="1"/>
  <c r="K24" i="3"/>
  <c r="L24" i="3" s="1"/>
  <c r="K23" i="3"/>
  <c r="L23" i="3" s="1"/>
  <c r="K22" i="3"/>
  <c r="L22" i="3" s="1"/>
  <c r="K21" i="3"/>
  <c r="L21" i="3" s="1"/>
  <c r="K20" i="3"/>
  <c r="L20" i="3" s="1"/>
  <c r="K19" i="3"/>
  <c r="L19" i="3" s="1"/>
  <c r="K18" i="3"/>
  <c r="L18" i="3" s="1"/>
  <c r="K17" i="3"/>
  <c r="L17" i="3" s="1"/>
  <c r="K16" i="3"/>
  <c r="L16" i="3" s="1"/>
  <c r="K15" i="3"/>
  <c r="L15" i="3" s="1"/>
  <c r="K14" i="3"/>
  <c r="L14" i="3" s="1"/>
  <c r="K13" i="3"/>
  <c r="L13" i="3" s="1"/>
  <c r="K12" i="3"/>
  <c r="L12" i="3" s="1"/>
  <c r="K11" i="3"/>
  <c r="L11" i="3" s="1"/>
  <c r="K10" i="3"/>
  <c r="L10" i="3" s="1"/>
  <c r="K9" i="3"/>
  <c r="L9" i="3" s="1"/>
  <c r="K8" i="3"/>
  <c r="L8" i="3" s="1"/>
  <c r="K7" i="3"/>
  <c r="L7" i="3" s="1"/>
  <c r="K6" i="3"/>
  <c r="L6" i="3" s="1"/>
  <c r="K5" i="3"/>
  <c r="L5" i="3" s="1"/>
  <c r="K4" i="3"/>
  <c r="L4" i="3" s="1"/>
  <c r="K3" i="3"/>
  <c r="L3" i="3" s="1"/>
  <c r="K2" i="3"/>
  <c r="L2" i="3" s="1"/>
  <c r="K146" i="3" l="1"/>
  <c r="L146" i="3"/>
</calcChain>
</file>

<file path=xl/sharedStrings.xml><?xml version="1.0" encoding="utf-8"?>
<sst xmlns="http://schemas.openxmlformats.org/spreadsheetml/2006/main" count="368" uniqueCount="222">
  <si>
    <t>时间段</t>
  </si>
  <si>
    <t>购电量</t>
  </si>
  <si>
    <t>0:00-0:10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</si>
  <si>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</si>
  <si>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</si>
  <si>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</si>
  <si>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</si>
  <si>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</si>
  <si>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</si>
  <si>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</si>
  <si>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</si>
  <si>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</si>
  <si>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</si>
  <si>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</si>
  <si>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</si>
  <si>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</si>
  <si>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</si>
  <si>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</si>
  <si>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</si>
  <si>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</si>
  <si>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</si>
  <si>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</si>
  <si>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</si>
  <si>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</si>
  <si>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</si>
  <si>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</si>
  <si>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</si>
  <si>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</si>
  <si>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</si>
  <si>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</si>
  <si>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</si>
  <si>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</si>
  <si>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</si>
  <si>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</si>
  <si>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</si>
  <si>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</si>
  <si>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</si>
  <si>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</si>
  <si>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</si>
  <si>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</si>
  <si>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</si>
  <si>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</si>
  <si>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</si>
  <si>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</si>
  <si>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</si>
  <si>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</si>
  <si>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</si>
  <si>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</si>
  <si>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</si>
  <si>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</si>
  <si>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</si>
  <si>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</si>
  <si>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</si>
  <si>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</si>
  <si>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</si>
  <si>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</si>
  <si>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</si>
  <si>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</si>
  <si>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</si>
  <si>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</si>
  <si>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</si>
  <si>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</si>
  <si>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</si>
  <si>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</si>
  <si>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</si>
  <si>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</si>
  <si>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</si>
  <si>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</si>
  <si>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</si>
  <si>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</si>
  <si>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</si>
  <si>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</si>
  <si>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</si>
  <si>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</si>
  <si>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</si>
  <si>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</si>
  <si>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</si>
  <si>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</si>
  <si>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</si>
  <si>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</si>
  <si>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</si>
  <si>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</si>
  <si>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</si>
  <si>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</si>
  <si>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</si>
  <si>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</si>
  <si>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</si>
  <si>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</si>
  <si>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</si>
  <si>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</si>
  <si>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</si>
  <si>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</si>
  <si>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</si>
  <si>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</si>
  <si>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</si>
  <si>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</si>
  <si>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</si>
  <si>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</si>
  <si>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</si>
  <si>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</si>
  <si>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</si>
  <si>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</si>
  <si>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</si>
  <si>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</si>
  <si>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</si>
  <si>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</si>
  <si>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</si>
  <si>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</si>
  <si>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</si>
  <si>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</si>
  <si>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</si>
  <si>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</si>
  <si>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</si>
  <si>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</si>
  <si>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</si>
  <si>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</si>
  <si>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</si>
  <si>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</si>
  <si>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</si>
  <si>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</si>
  <si>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</si>
  <si>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</si>
  <si>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</si>
  <si>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</si>
  <si>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</si>
  <si>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</si>
  <si>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</si>
  <si>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</si>
  <si>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</si>
  <si>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</si>
  <si>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</si>
  <si>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</si>
  <si>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</si>
  <si>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</si>
  <si>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</si>
  <si>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</si>
  <si>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</si>
  <si>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</si>
  <si>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</si>
  <si>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</si>
  <si>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</si>
  <si>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</si>
  <si>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</si>
  <si>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</si>
  <si>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</si>
  <si>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23:50-24:00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</si>
  <si>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</si>
  <si>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</si>
  <si>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</si>
  <si>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</si>
  <si>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</si>
  <si>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</si>
  <si>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</si>
  <si>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</si>
  <si>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</si>
  <si>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</si>
  <si>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</si>
  <si>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</si>
  <si>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电价</t>
  </si>
  <si>
    <t>负荷kW</t>
  </si>
  <si>
    <t>光伏kW</t>
  </si>
  <si>
    <t>购电kW</t>
  </si>
  <si>
    <t>充电kW</t>
  </si>
  <si>
    <t>放电kW</t>
  </si>
  <si>
    <t>富余kW</t>
  </si>
  <si>
    <t>期初kWh</t>
  </si>
  <si>
    <t>期末kWh</t>
  </si>
  <si>
    <t>购电kWh</t>
  </si>
  <si>
    <t>费用元</t>
  </si>
  <si>
    <t>总计</t>
  </si>
  <si>
    <t>项目</t>
  </si>
  <si>
    <t>数值/说明</t>
  </si>
  <si>
    <t>输入来源</t>
  </si>
  <si>
    <t>C:\Users\14051\Desktop\shuxuejianmo\附件1.xlsx</t>
  </si>
  <si>
    <t>总程效率</t>
  </si>
  <si>
    <t>单向效率</t>
  </si>
  <si>
    <t>功率判定阈值kW</t>
  </si>
  <si>
    <t>短片段参考区间数</t>
  </si>
  <si>
    <t>全天购电量kWh</t>
  </si>
  <si>
    <t>全天购电费元</t>
  </si>
  <si>
    <t>储能损耗kWh</t>
  </si>
  <si>
    <t>能量恒等式残差kWh</t>
  </si>
  <si>
    <t>模板时间说明</t>
  </si>
  <si>
    <t>原模板后移10分钟；已纠正为当天0:00至24:00</t>
  </si>
  <si>
    <t>balance</t>
  </si>
  <si>
    <t>state</t>
  </si>
  <si>
    <t>endpoint</t>
  </si>
  <si>
    <t>simultaneous</t>
  </si>
  <si>
    <t>bounds</t>
  </si>
  <si>
    <t>第1层_stage</t>
  </si>
  <si>
    <t>第1层_objective</t>
  </si>
  <si>
    <t>第1层_seconds</t>
  </si>
  <si>
    <t>第1层_gap</t>
  </si>
  <si>
    <t>第1层_dual_bound</t>
  </si>
  <si>
    <t>第1层_cost</t>
  </si>
  <si>
    <t>第1层_purchase</t>
  </si>
  <si>
    <t>第1层_variation_kw</t>
  </si>
  <si>
    <t>第1层_starts</t>
  </si>
  <si>
    <t>第1层_short_deficit</t>
  </si>
  <si>
    <t>第1层_F2</t>
  </si>
  <si>
    <t>第2层_stage</t>
  </si>
  <si>
    <t>第2层_objective</t>
  </si>
  <si>
    <t>第2层_seconds</t>
  </si>
  <si>
    <t>第2层_gap</t>
  </si>
  <si>
    <t>第2层_dual_bound</t>
  </si>
  <si>
    <t>第2层_cost</t>
  </si>
  <si>
    <t>第2层_purchase</t>
  </si>
  <si>
    <t>第2层_variation_kw</t>
  </si>
  <si>
    <t>第2层_starts</t>
  </si>
  <si>
    <t>第2层_short_deficit</t>
  </si>
  <si>
    <t>第2层_F2</t>
  </si>
  <si>
    <t>第3层_stage</t>
  </si>
  <si>
    <t>第3层_objective</t>
  </si>
  <si>
    <t>第3层_seconds</t>
  </si>
  <si>
    <t>第3层_gap</t>
  </si>
  <si>
    <t>第3层_dual_bound</t>
  </si>
  <si>
    <t>第3层_cost</t>
  </si>
  <si>
    <t>第3层_purchase</t>
  </si>
  <si>
    <t>第3层_variation_kw</t>
  </si>
  <si>
    <t>第3层_starts</t>
  </si>
  <si>
    <t>第3层_short_deficit</t>
  </si>
  <si>
    <t>第3层_F2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</si>
</sst>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00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tabSelected="1" workbookViewId="0">
      <pane ySplit="1" topLeftCell="A2" activePane="bottomLeft" state="frozen"/>
      <selection pane="bottomLeft"/>
    </sheetView>
  </sheetViews>
  <sheetFormatPr defaultColWidth="8.7265625" defaultRowHeight="14" customHeight="1" x14ac:dyDescent="0.35"/>
  <cols>
    <col min="1" max="1" width="28" style="1" customWidth="1"/>
    <col min="2" max="2" width="18" customWidth="1"/>
    <col min="3" max="3" width="8.7265625" style="2" customWidth="1"/>
    <col min="4" max="16384" width="8.7265625" style="2"/>
  </cols>
  <sheetData>
    <row r="1" spans="1:2" ht="14" customHeight="1" x14ac:dyDescent="0.25">
      <c r="A1" s="4" t="s">
        <v>0</v>
      </c>
      <c r="B1" s="5" t="s">
        <v>1</v>
      </c>
    </row>
    <row r="2" spans="1:2" ht="14" customHeight="1" x14ac:dyDescent="0.25">
      <c r="A2" s="1" t="s">
        <v>2</v>
      </c>
      <c r="B2" s="6">
        <v>1406.6411000000001</v>
      </c>
    </row>
    <row r="3" spans="1:2" ht="14" customHeight="1" x14ac:dyDescent="0.25">
      <c r="A3" s="1" t="s">
        <v>3</v>
      </c>
      <c r="B3" s="6">
        <v>1406.3298666666749</v>
      </c>
    </row>
    <row r="4" spans="1:2" ht="14" customHeight="1" x14ac:dyDescent="0.25">
      <c r="A4" s="1" t="s">
        <v>4</v>
      </c>
      <c r="B4" s="6">
        <v>1407.3838499999999</v>
      </c>
    </row>
    <row r="5" spans="1:2" ht="14" customHeight="1" x14ac:dyDescent="0.25">
      <c r="A5" s="1" t="s">
        <v>5</v>
      </c>
      <c r="B5" s="6">
        <v>1409.0739500000011</v>
      </c>
    </row>
    <row r="6" spans="1:2" ht="14" customHeight="1" x14ac:dyDescent="0.25">
      <c r="A6" s="1" t="s">
        <v>6</v>
      </c>
      <c r="B6" s="6">
        <v>1409.804549999998</v>
      </c>
    </row>
    <row r="7" spans="1:2" ht="14" customHeight="1" x14ac:dyDescent="0.25">
      <c r="A7" s="1" t="s">
        <v>7</v>
      </c>
      <c r="B7" s="6">
        <v>576.64001666656691</v>
      </c>
    </row>
    <row r="8" spans="1:2" ht="14" customHeight="1" x14ac:dyDescent="0.25">
      <c r="A8" s="1" t="s">
        <v>8</v>
      </c>
      <c r="B8" s="6">
        <v>577.859699999996</v>
      </c>
    </row>
    <row r="9" spans="1:2" ht="14" customHeight="1" x14ac:dyDescent="0.25">
      <c r="A9" s="1" t="s">
        <v>9</v>
      </c>
      <c r="B9" s="6">
        <v>577.99386666666521</v>
      </c>
    </row>
    <row r="10" spans="1:2" ht="14" customHeight="1" x14ac:dyDescent="0.25">
      <c r="A10" s="1" t="s">
        <v>10</v>
      </c>
      <c r="B10" s="6">
        <v>637.47230626950443</v>
      </c>
    </row>
    <row r="11" spans="1:2" ht="14" customHeight="1" x14ac:dyDescent="0.25">
      <c r="A11" s="1" t="s">
        <v>11</v>
      </c>
      <c r="B11" s="6">
        <v>580.41545000001065</v>
      </c>
    </row>
    <row r="12" spans="1:2" ht="14" customHeight="1" x14ac:dyDescent="0.25">
      <c r="A12" s="1" t="s">
        <v>12</v>
      </c>
      <c r="B12" s="6">
        <v>582.51401666666379</v>
      </c>
    </row>
    <row r="13" spans="1:2" ht="14" customHeight="1" x14ac:dyDescent="0.25">
      <c r="A13" s="1" t="s">
        <v>13</v>
      </c>
      <c r="B13" s="6">
        <v>583.07404999999221</v>
      </c>
    </row>
    <row r="14" spans="1:2" ht="14" customHeight="1" x14ac:dyDescent="0.25">
      <c r="A14" s="1" t="s">
        <v>14</v>
      </c>
      <c r="B14" s="6">
        <v>584.20491666667635</v>
      </c>
    </row>
    <row r="15" spans="1:2" ht="14" customHeight="1" x14ac:dyDescent="0.25">
      <c r="A15" s="1" t="s">
        <v>15</v>
      </c>
      <c r="B15" s="6">
        <v>585.439783333332</v>
      </c>
    </row>
    <row r="16" spans="1:2" ht="14" customHeight="1" x14ac:dyDescent="0.25">
      <c r="A16" s="1" t="s">
        <v>16</v>
      </c>
      <c r="B16" s="6">
        <v>586.14474999999152</v>
      </c>
    </row>
    <row r="17" spans="1:2" ht="14" customHeight="1" x14ac:dyDescent="0.25">
      <c r="A17" s="1" t="s">
        <v>17</v>
      </c>
      <c r="B17" s="6">
        <v>586.32076666665671</v>
      </c>
    </row>
    <row r="18" spans="1:2" ht="14" customHeight="1" x14ac:dyDescent="0.25">
      <c r="A18" s="1" t="s">
        <v>18</v>
      </c>
      <c r="B18" s="6">
        <v>586.42529999999954</v>
      </c>
    </row>
    <row r="19" spans="1:2" ht="14" customHeight="1" x14ac:dyDescent="0.25">
      <c r="A19" s="1" t="s">
        <v>19</v>
      </c>
      <c r="B19" s="6">
        <v>586.84959999999091</v>
      </c>
    </row>
    <row r="20" spans="1:2" ht="14" customHeight="1" x14ac:dyDescent="0.25">
      <c r="A20" s="1" t="s">
        <v>20</v>
      </c>
      <c r="B20" s="6">
        <v>587.8210166666546</v>
      </c>
    </row>
    <row r="21" spans="1:2" ht="14" customHeight="1" x14ac:dyDescent="0.25">
      <c r="A21" s="1" t="s">
        <v>21</v>
      </c>
      <c r="B21" s="6">
        <v>589.5475666666664</v>
      </c>
    </row>
    <row r="22" spans="1:2" ht="14" customHeight="1" x14ac:dyDescent="0.25">
      <c r="A22" s="1" t="s">
        <v>22</v>
      </c>
      <c r="B22" s="6">
        <v>590.81346666666389</v>
      </c>
    </row>
    <row r="23" spans="1:2" ht="14" customHeight="1" x14ac:dyDescent="0.25">
      <c r="A23" s="1" t="s">
        <v>23</v>
      </c>
      <c r="B23" s="6">
        <v>590.21311666666736</v>
      </c>
    </row>
    <row r="24" spans="1:2" ht="14" customHeight="1" x14ac:dyDescent="0.25">
      <c r="A24" s="1" t="s">
        <v>24</v>
      </c>
      <c r="B24" s="6">
        <v>591.06626666666398</v>
      </c>
    </row>
    <row r="25" spans="1:2" ht="14" customHeight="1" x14ac:dyDescent="0.25">
      <c r="A25" s="1" t="s">
        <v>25</v>
      </c>
      <c r="B25" s="6">
        <v>593.36783333333176</v>
      </c>
    </row>
    <row r="26" spans="1:2" ht="14" customHeight="1" x14ac:dyDescent="0.25">
      <c r="A26" s="1" t="s">
        <v>26</v>
      </c>
      <c r="B26" s="6">
        <v>593.65968333333399</v>
      </c>
    </row>
    <row r="27" spans="1:2" ht="14" customHeight="1" x14ac:dyDescent="0.25">
      <c r="A27" s="1" t="s">
        <v>27</v>
      </c>
      <c r="B27" s="6">
        <v>592.78638333335095</v>
      </c>
    </row>
    <row r="28" spans="1:2" ht="14" customHeight="1" x14ac:dyDescent="0.25">
      <c r="A28" s="1" t="s">
        <v>28</v>
      </c>
      <c r="B28" s="6">
        <v>593.33786666666583</v>
      </c>
    </row>
    <row r="29" spans="1:2" ht="14" customHeight="1" x14ac:dyDescent="0.25">
      <c r="A29" s="1" t="s">
        <v>29</v>
      </c>
      <c r="B29" s="6">
        <v>596.67576666666673</v>
      </c>
    </row>
    <row r="30" spans="1:2" ht="14" customHeight="1" x14ac:dyDescent="0.25">
      <c r="A30" s="1" t="s">
        <v>30</v>
      </c>
      <c r="B30" s="6">
        <v>597.78024999999991</v>
      </c>
    </row>
    <row r="31" spans="1:2" ht="14" customHeight="1" x14ac:dyDescent="0.25">
      <c r="A31" s="1" t="s">
        <v>31</v>
      </c>
      <c r="B31" s="6">
        <v>595.16249999999923</v>
      </c>
    </row>
    <row r="32" spans="1:2" ht="14" customHeight="1" x14ac:dyDescent="0.25">
      <c r="A32" s="1" t="s">
        <v>32</v>
      </c>
      <c r="B32" s="6">
        <v>590.60650000001624</v>
      </c>
    </row>
    <row r="33" spans="1:2" ht="14" customHeight="1" x14ac:dyDescent="0.25">
      <c r="A33" s="1" t="s">
        <v>33</v>
      </c>
      <c r="B33" s="6">
        <v>589.48518333331492</v>
      </c>
    </row>
    <row r="34" spans="1:2" ht="14" customHeight="1" x14ac:dyDescent="0.25">
      <c r="A34" s="1" t="s">
        <v>34</v>
      </c>
      <c r="B34" s="6">
        <v>578.45545000000971</v>
      </c>
    </row>
    <row r="35" spans="1:2" ht="14" customHeight="1" x14ac:dyDescent="0.25">
      <c r="A35" s="1" t="s">
        <v>35</v>
      </c>
      <c r="B35" s="6">
        <v>1383.659783333334</v>
      </c>
    </row>
    <row r="36" spans="1:2" ht="14" customHeight="1" x14ac:dyDescent="0.25">
      <c r="A36" s="1" t="s">
        <v>36</v>
      </c>
      <c r="B36" s="6">
        <v>2.2783305030316149E-5</v>
      </c>
    </row>
    <row r="37" spans="1:2" ht="14" customHeight="1" x14ac:dyDescent="0.25">
      <c r="A37" s="1" t="s">
        <v>37</v>
      </c>
      <c r="B37" s="6">
        <v>0</v>
      </c>
    </row>
    <row r="38" spans="1:2" ht="14" customHeight="1" x14ac:dyDescent="0.25">
      <c r="A38" s="1" t="s">
        <v>38</v>
      </c>
      <c r="B38" s="6">
        <v>0</v>
      </c>
    </row>
    <row r="39" spans="1:2" ht="14" customHeight="1" x14ac:dyDescent="0.25">
      <c r="A39" s="1" t="s">
        <v>39</v>
      </c>
      <c r="B39" s="6">
        <v>0</v>
      </c>
    </row>
    <row r="40" spans="1:2" ht="14" customHeight="1" x14ac:dyDescent="0.25">
      <c r="A40" s="1" t="s">
        <v>40</v>
      </c>
      <c r="B40" s="6">
        <v>0</v>
      </c>
    </row>
    <row r="41" spans="1:2" ht="14" customHeight="1" x14ac:dyDescent="0.25">
      <c r="A41" s="1" t="s">
        <v>41</v>
      </c>
      <c r="B41" s="6">
        <v>0</v>
      </c>
    </row>
    <row r="42" spans="1:2" ht="14" customHeight="1" x14ac:dyDescent="0.25">
      <c r="A42" s="1" t="s">
        <v>42</v>
      </c>
      <c r="B42" s="6">
        <v>0</v>
      </c>
    </row>
    <row r="43" spans="1:2" ht="14" customHeight="1" x14ac:dyDescent="0.25">
      <c r="A43" s="1" t="s">
        <v>43</v>
      </c>
      <c r="B43" s="6">
        <v>0</v>
      </c>
    </row>
    <row r="44" spans="1:2" ht="14" customHeight="1" x14ac:dyDescent="0.25">
      <c r="A44" s="1" t="s">
        <v>44</v>
      </c>
      <c r="B44" s="6">
        <v>0</v>
      </c>
    </row>
    <row r="45" spans="1:2" ht="14" customHeight="1" x14ac:dyDescent="0.25">
      <c r="A45" s="1" t="s">
        <v>45</v>
      </c>
      <c r="B45" s="6">
        <v>0</v>
      </c>
    </row>
    <row r="46" spans="1:2" ht="14" customHeight="1" x14ac:dyDescent="0.25">
      <c r="A46" s="1" t="s">
        <v>46</v>
      </c>
      <c r="B46" s="6">
        <v>0</v>
      </c>
    </row>
    <row r="47" spans="1:2" ht="14" customHeight="1" x14ac:dyDescent="0.25">
      <c r="A47" s="1" t="s">
        <v>47</v>
      </c>
      <c r="B47" s="6">
        <v>0</v>
      </c>
    </row>
    <row r="48" spans="1:2" ht="14" customHeight="1" x14ac:dyDescent="0.25">
      <c r="A48" s="1" t="s">
        <v>48</v>
      </c>
      <c r="B48" s="6">
        <v>0</v>
      </c>
    </row>
    <row r="49" spans="1:2" ht="14" customHeight="1" x14ac:dyDescent="0.25">
      <c r="A49" s="1" t="s">
        <v>49</v>
      </c>
      <c r="B49" s="6">
        <v>0</v>
      </c>
    </row>
    <row r="50" spans="1:2" ht="14" customHeight="1" x14ac:dyDescent="0.25">
      <c r="A50" s="1" t="s">
        <v>50</v>
      </c>
      <c r="B50" s="6">
        <v>0</v>
      </c>
    </row>
    <row r="51" spans="1:2" ht="14" customHeight="1" x14ac:dyDescent="0.25">
      <c r="A51" s="1" t="s">
        <v>51</v>
      </c>
      <c r="B51" s="6">
        <v>0</v>
      </c>
    </row>
    <row r="52" spans="1:2" ht="14" customHeight="1" x14ac:dyDescent="0.25">
      <c r="A52" s="1" t="s">
        <v>52</v>
      </c>
      <c r="B52" s="6">
        <v>0</v>
      </c>
    </row>
    <row r="53" spans="1:2" ht="14" customHeight="1" x14ac:dyDescent="0.25">
      <c r="A53" s="1" t="s">
        <v>53</v>
      </c>
      <c r="B53" s="6">
        <v>0</v>
      </c>
    </row>
    <row r="54" spans="1:2" ht="14" customHeight="1" x14ac:dyDescent="0.25">
      <c r="A54" s="1" t="s">
        <v>54</v>
      </c>
      <c r="B54" s="6">
        <v>0</v>
      </c>
    </row>
    <row r="55" spans="1:2" ht="14" customHeight="1" x14ac:dyDescent="0.25">
      <c r="A55" s="1" t="s">
        <v>55</v>
      </c>
      <c r="B55" s="6">
        <v>0</v>
      </c>
    </row>
    <row r="56" spans="1:2" ht="14" customHeight="1" x14ac:dyDescent="0.25">
      <c r="A56" s="1" t="s">
        <v>56</v>
      </c>
      <c r="B56" s="6">
        <v>0</v>
      </c>
    </row>
    <row r="57" spans="1:2" ht="14" customHeight="1" x14ac:dyDescent="0.25">
      <c r="A57" s="1" t="s">
        <v>57</v>
      </c>
      <c r="B57" s="6">
        <v>0</v>
      </c>
    </row>
    <row r="58" spans="1:2" ht="14" customHeight="1" x14ac:dyDescent="0.25">
      <c r="A58" s="1" t="s">
        <v>58</v>
      </c>
      <c r="B58" s="6">
        <v>0</v>
      </c>
    </row>
    <row r="59" spans="1:2" ht="14" customHeight="1" x14ac:dyDescent="0.25">
      <c r="A59" s="1" t="s">
        <v>59</v>
      </c>
      <c r="B59" s="6">
        <v>0</v>
      </c>
    </row>
    <row r="60" spans="1:2" ht="14" customHeight="1" x14ac:dyDescent="0.25">
      <c r="A60" s="1" t="s">
        <v>60</v>
      </c>
      <c r="B60" s="6">
        <v>0</v>
      </c>
    </row>
    <row r="61" spans="1:2" ht="14" customHeight="1" x14ac:dyDescent="0.25">
      <c r="A61" s="1" t="s">
        <v>61</v>
      </c>
      <c r="B61" s="6">
        <v>0</v>
      </c>
    </row>
    <row r="62" spans="1:2" ht="14" customHeight="1" x14ac:dyDescent="0.25">
      <c r="A62" s="1" t="s">
        <v>62</v>
      </c>
      <c r="B62" s="6">
        <v>0</v>
      </c>
    </row>
    <row r="63" spans="1:2" ht="14" customHeight="1" x14ac:dyDescent="0.25">
      <c r="A63" s="1" t="s">
        <v>63</v>
      </c>
      <c r="B63" s="6">
        <v>0</v>
      </c>
    </row>
    <row r="64" spans="1:2" ht="14" customHeight="1" x14ac:dyDescent="0.25">
      <c r="A64" s="1" t="s">
        <v>64</v>
      </c>
      <c r="B64" s="6">
        <v>0</v>
      </c>
    </row>
    <row r="65" spans="1:2" ht="14" customHeight="1" x14ac:dyDescent="0.25">
      <c r="A65" s="1" t="s">
        <v>65</v>
      </c>
      <c r="B65" s="6">
        <v>0</v>
      </c>
    </row>
    <row r="66" spans="1:2" ht="14" customHeight="1" x14ac:dyDescent="0.25">
      <c r="A66" s="1" t="s">
        <v>66</v>
      </c>
      <c r="B66" s="6">
        <v>0</v>
      </c>
    </row>
    <row r="67" spans="1:2" ht="14" customHeight="1" x14ac:dyDescent="0.25">
      <c r="A67" s="1" t="s">
        <v>67</v>
      </c>
      <c r="B67" s="6">
        <v>0</v>
      </c>
    </row>
    <row r="68" spans="1:2" ht="14" customHeight="1" x14ac:dyDescent="0.25">
      <c r="A68" s="1" t="s">
        <v>68</v>
      </c>
      <c r="B68" s="6">
        <v>415.11764505560518</v>
      </c>
    </row>
    <row r="69" spans="1:2" ht="14" customHeight="1" x14ac:dyDescent="0.25">
      <c r="A69" s="1" t="s">
        <v>69</v>
      </c>
      <c r="B69" s="6">
        <v>0</v>
      </c>
    </row>
    <row r="70" spans="1:2" ht="14" customHeight="1" x14ac:dyDescent="0.25">
      <c r="A70" s="1" t="s">
        <v>70</v>
      </c>
      <c r="B70" s="6">
        <v>0</v>
      </c>
    </row>
    <row r="71" spans="1:2" ht="14" customHeight="1" x14ac:dyDescent="0.25">
      <c r="A71" s="1" t="s">
        <v>71</v>
      </c>
      <c r="B71" s="6">
        <v>0</v>
      </c>
    </row>
    <row r="72" spans="1:2" ht="14" customHeight="1" x14ac:dyDescent="0.25">
      <c r="A72" s="1" t="s">
        <v>72</v>
      </c>
      <c r="B72" s="6">
        <v>520.12451666666311</v>
      </c>
    </row>
    <row r="73" spans="1:2" ht="14" customHeight="1" x14ac:dyDescent="0.25">
      <c r="A73" s="1" t="s">
        <v>73</v>
      </c>
      <c r="B73" s="6">
        <v>486.40289999999328</v>
      </c>
    </row>
    <row r="74" spans="1:2" ht="14" customHeight="1" x14ac:dyDescent="0.25">
      <c r="A74" s="1" t="s">
        <v>74</v>
      </c>
      <c r="B74" s="6">
        <v>480.41244999999992</v>
      </c>
    </row>
    <row r="75" spans="1:2" ht="14" customHeight="1" x14ac:dyDescent="0.25">
      <c r="A75" s="1" t="s">
        <v>75</v>
      </c>
      <c r="B75" s="6">
        <v>485.29999999999922</v>
      </c>
    </row>
    <row r="76" spans="1:2" ht="14" customHeight="1" x14ac:dyDescent="0.25">
      <c r="A76" s="1" t="s">
        <v>76</v>
      </c>
      <c r="B76" s="6">
        <v>488.60696666666752</v>
      </c>
    </row>
    <row r="77" spans="1:2" ht="14" customHeight="1" x14ac:dyDescent="0.25">
      <c r="A77" s="1" t="s">
        <v>77</v>
      </c>
      <c r="B77" s="6">
        <v>498.27073333331748</v>
      </c>
    </row>
    <row r="78" spans="1:2" ht="14" customHeight="1" x14ac:dyDescent="0.25">
      <c r="A78" s="1" t="s">
        <v>78</v>
      </c>
      <c r="B78" s="6">
        <v>0</v>
      </c>
    </row>
    <row r="79" spans="1:2" ht="14" customHeight="1" x14ac:dyDescent="0.25">
      <c r="A79" s="1" t="s">
        <v>79</v>
      </c>
      <c r="B79" s="6">
        <v>0</v>
      </c>
    </row>
    <row r="80" spans="1:2" ht="14" customHeight="1" x14ac:dyDescent="0.25">
      <c r="A80" s="1" t="s">
        <v>80</v>
      </c>
      <c r="B80" s="6">
        <v>0</v>
      </c>
    </row>
    <row r="81" spans="1:2" ht="14" customHeight="1" x14ac:dyDescent="0.25">
      <c r="A81" s="1" t="s">
        <v>81</v>
      </c>
      <c r="B81" s="6">
        <v>0</v>
      </c>
    </row>
    <row r="82" spans="1:2" ht="14" customHeight="1" x14ac:dyDescent="0.25">
      <c r="A82" s="1" t="s">
        <v>82</v>
      </c>
      <c r="B82" s="6">
        <v>0</v>
      </c>
    </row>
    <row r="83" spans="1:2" ht="14" customHeight="1" x14ac:dyDescent="0.25">
      <c r="A83" s="1" t="s">
        <v>83</v>
      </c>
      <c r="B83" s="6">
        <v>0</v>
      </c>
    </row>
    <row r="84" spans="1:2" ht="14" customHeight="1" x14ac:dyDescent="0.25">
      <c r="A84" s="1" t="s">
        <v>84</v>
      </c>
      <c r="B84" s="6">
        <v>0</v>
      </c>
    </row>
    <row r="85" spans="1:2" ht="14" customHeight="1" x14ac:dyDescent="0.25">
      <c r="A85" s="1" t="s">
        <v>85</v>
      </c>
      <c r="B85" s="6">
        <v>0</v>
      </c>
    </row>
    <row r="86" spans="1:2" ht="14" customHeight="1" x14ac:dyDescent="0.25">
      <c r="A86" s="1" t="s">
        <v>86</v>
      </c>
      <c r="B86" s="6">
        <v>0</v>
      </c>
    </row>
    <row r="87" spans="1:2" ht="14" customHeight="1" x14ac:dyDescent="0.25">
      <c r="A87" s="1" t="s">
        <v>87</v>
      </c>
      <c r="B87" s="6">
        <v>0</v>
      </c>
    </row>
    <row r="88" spans="1:2" ht="14" customHeight="1" x14ac:dyDescent="0.25">
      <c r="A88" s="1" t="s">
        <v>88</v>
      </c>
      <c r="B88" s="6">
        <v>0</v>
      </c>
    </row>
    <row r="89" spans="1:2" ht="14" customHeight="1" x14ac:dyDescent="0.25">
      <c r="A89" s="1" t="s">
        <v>89</v>
      </c>
      <c r="B89" s="6">
        <v>0</v>
      </c>
    </row>
    <row r="90" spans="1:2" ht="14" customHeight="1" x14ac:dyDescent="0.25">
      <c r="A90" s="1" t="s">
        <v>90</v>
      </c>
      <c r="B90" s="6">
        <v>0</v>
      </c>
    </row>
    <row r="91" spans="1:2" ht="14" customHeight="1" x14ac:dyDescent="0.25">
      <c r="A91" s="1" t="s">
        <v>91</v>
      </c>
      <c r="B91" s="6">
        <v>112.08986666667531</v>
      </c>
    </row>
    <row r="92" spans="1:2" ht="14" customHeight="1" x14ac:dyDescent="0.25">
      <c r="A92" s="1" t="s">
        <v>92</v>
      </c>
      <c r="B92" s="6">
        <v>255.4856092592822</v>
      </c>
    </row>
    <row r="93" spans="1:2" ht="14" customHeight="1" x14ac:dyDescent="0.25">
      <c r="A93" s="1" t="s">
        <v>93</v>
      </c>
      <c r="B93" s="6">
        <v>197.5235166666684</v>
      </c>
    </row>
    <row r="94" spans="1:2" ht="14" customHeight="1" x14ac:dyDescent="0.25">
      <c r="A94" s="1" t="s">
        <v>94</v>
      </c>
      <c r="B94" s="6">
        <v>244.81403333332881</v>
      </c>
    </row>
    <row r="95" spans="1:2" ht="14" customHeight="1" x14ac:dyDescent="0.25">
      <c r="A95" s="1" t="s">
        <v>95</v>
      </c>
      <c r="B95" s="6">
        <v>295.53461666665021</v>
      </c>
    </row>
    <row r="96" spans="1:2" ht="14" customHeight="1" x14ac:dyDescent="0.25">
      <c r="A96" s="1" t="s">
        <v>96</v>
      </c>
      <c r="B96" s="6">
        <v>345.77749999999628</v>
      </c>
    </row>
    <row r="97" spans="1:2" ht="14" customHeight="1" x14ac:dyDescent="0.25">
      <c r="A97" s="1" t="s">
        <v>97</v>
      </c>
      <c r="B97" s="6">
        <v>394.93148333333357</v>
      </c>
    </row>
    <row r="98" spans="1:2" ht="14" customHeight="1" x14ac:dyDescent="0.25">
      <c r="A98" s="1" t="s">
        <v>98</v>
      </c>
      <c r="B98" s="6">
        <v>445.4316499999905</v>
      </c>
    </row>
    <row r="99" spans="1:2" ht="14" customHeight="1" x14ac:dyDescent="0.25">
      <c r="A99" s="1" t="s">
        <v>99</v>
      </c>
      <c r="B99" s="6">
        <v>495.69658333333149</v>
      </c>
    </row>
    <row r="100" spans="1:2" ht="14" customHeight="1" x14ac:dyDescent="0.25">
      <c r="A100" s="1" t="s">
        <v>100</v>
      </c>
      <c r="B100" s="6">
        <v>547.11904999999911</v>
      </c>
    </row>
    <row r="101" spans="1:2" ht="14" customHeight="1" x14ac:dyDescent="0.25">
      <c r="A101" s="1" t="s">
        <v>101</v>
      </c>
      <c r="B101" s="6">
        <v>599.98543333333225</v>
      </c>
    </row>
    <row r="102" spans="1:2" ht="14" customHeight="1" x14ac:dyDescent="0.25">
      <c r="A102" s="1" t="s">
        <v>102</v>
      </c>
      <c r="B102" s="6">
        <v>635.4297499999908</v>
      </c>
    </row>
    <row r="103" spans="1:2" ht="14" customHeight="1" x14ac:dyDescent="0.25">
      <c r="A103" s="1" t="s">
        <v>103</v>
      </c>
      <c r="B103" s="6">
        <v>660.83068333335359</v>
      </c>
    </row>
    <row r="104" spans="1:2" ht="14" customHeight="1" x14ac:dyDescent="0.25">
      <c r="A104" s="1" t="s">
        <v>104</v>
      </c>
      <c r="B104" s="6">
        <v>702.03693333333331</v>
      </c>
    </row>
    <row r="105" spans="1:2" ht="14" customHeight="1" x14ac:dyDescent="0.25">
      <c r="A105" s="1" t="s">
        <v>105</v>
      </c>
      <c r="B105" s="6">
        <v>738.06578333333368</v>
      </c>
    </row>
    <row r="106" spans="1:2" ht="14" customHeight="1" x14ac:dyDescent="0.25">
      <c r="A106" s="1" t="s">
        <v>106</v>
      </c>
      <c r="B106" s="6">
        <v>775.94471666669028</v>
      </c>
    </row>
    <row r="107" spans="1:2" ht="14" customHeight="1" x14ac:dyDescent="0.25">
      <c r="A107" s="1" t="s">
        <v>107</v>
      </c>
      <c r="B107" s="6">
        <v>826.08324999997672</v>
      </c>
    </row>
    <row r="108" spans="1:2" ht="14" customHeight="1" x14ac:dyDescent="0.25">
      <c r="A108" s="1" t="s">
        <v>108</v>
      </c>
      <c r="B108" s="6">
        <v>762.42279999999994</v>
      </c>
    </row>
    <row r="109" spans="1:2" ht="14" customHeight="1" x14ac:dyDescent="0.25">
      <c r="A109" s="1" t="s">
        <v>109</v>
      </c>
      <c r="B109" s="6">
        <v>636.98261666666451</v>
      </c>
    </row>
    <row r="110" spans="1:2" ht="14" customHeight="1" x14ac:dyDescent="0.25">
      <c r="A110" s="1" t="s">
        <v>110</v>
      </c>
      <c r="B110" s="6">
        <v>64.53438871505989</v>
      </c>
    </row>
    <row r="111" spans="1:2" ht="14" customHeight="1" x14ac:dyDescent="0.25">
      <c r="A111" s="1" t="s">
        <v>111</v>
      </c>
      <c r="B111" s="6">
        <v>678.83053333333612</v>
      </c>
    </row>
    <row r="112" spans="1:2" ht="14" customHeight="1" x14ac:dyDescent="0.25">
      <c r="A112" s="1" t="s">
        <v>112</v>
      </c>
      <c r="B112" s="6">
        <v>686.26850000001241</v>
      </c>
    </row>
    <row r="113" spans="1:2" ht="14" customHeight="1" x14ac:dyDescent="0.25">
      <c r="A113" s="1" t="s">
        <v>113</v>
      </c>
      <c r="B113" s="6">
        <v>696.50438333332806</v>
      </c>
    </row>
    <row r="114" spans="1:2" ht="14" customHeight="1" x14ac:dyDescent="0.25">
      <c r="A114" s="1" t="s">
        <v>114</v>
      </c>
      <c r="B114" s="6">
        <v>0</v>
      </c>
    </row>
    <row r="115" spans="1:2" ht="14" customHeight="1" x14ac:dyDescent="0.25">
      <c r="A115" s="1" t="s">
        <v>115</v>
      </c>
      <c r="B115" s="6">
        <v>0</v>
      </c>
    </row>
    <row r="116" spans="1:2" ht="14" customHeight="1" x14ac:dyDescent="0.25">
      <c r="A116" s="1" t="s">
        <v>116</v>
      </c>
      <c r="B116" s="6">
        <v>0</v>
      </c>
    </row>
    <row r="117" spans="1:2" ht="14" customHeight="1" x14ac:dyDescent="0.25">
      <c r="A117" s="1" t="s">
        <v>117</v>
      </c>
      <c r="B117" s="6">
        <v>0</v>
      </c>
    </row>
    <row r="118" spans="1:2" ht="14" customHeight="1" x14ac:dyDescent="0.25">
      <c r="A118" s="1" t="s">
        <v>118</v>
      </c>
      <c r="B118" s="6">
        <v>0</v>
      </c>
    </row>
    <row r="119" spans="1:2" ht="14" customHeight="1" x14ac:dyDescent="0.25">
      <c r="A119" s="1" t="s">
        <v>119</v>
      </c>
      <c r="B119" s="6">
        <v>0</v>
      </c>
    </row>
    <row r="120" spans="1:2" ht="14" customHeight="1" x14ac:dyDescent="0.25">
      <c r="A120" s="1" t="s">
        <v>120</v>
      </c>
      <c r="B120" s="6">
        <v>0</v>
      </c>
    </row>
    <row r="121" spans="1:2" ht="14" customHeight="1" x14ac:dyDescent="0.25">
      <c r="A121" s="1" t="s">
        <v>121</v>
      </c>
      <c r="B121" s="6">
        <v>0</v>
      </c>
    </row>
    <row r="122" spans="1:2" ht="14" customHeight="1" x14ac:dyDescent="0.25">
      <c r="A122" s="1" t="s">
        <v>122</v>
      </c>
      <c r="B122" s="6">
        <v>0</v>
      </c>
    </row>
    <row r="123" spans="1:2" ht="14" customHeight="1" x14ac:dyDescent="0.25">
      <c r="A123" s="1" t="s">
        <v>123</v>
      </c>
      <c r="B123" s="6">
        <v>0</v>
      </c>
    </row>
    <row r="124" spans="1:2" ht="14" customHeight="1" x14ac:dyDescent="0.25">
      <c r="A124" s="1" t="s">
        <v>124</v>
      </c>
      <c r="B124" s="6">
        <v>0</v>
      </c>
    </row>
    <row r="125" spans="1:2" ht="14" customHeight="1" x14ac:dyDescent="0.25">
      <c r="A125" s="1" t="s">
        <v>125</v>
      </c>
      <c r="B125" s="6">
        <v>0</v>
      </c>
    </row>
    <row r="126" spans="1:2" ht="14" customHeight="1" x14ac:dyDescent="0.25">
      <c r="A126" s="1" t="s">
        <v>126</v>
      </c>
      <c r="B126" s="6">
        <v>715.86891666666656</v>
      </c>
    </row>
    <row r="127" spans="1:2" ht="14" customHeight="1" x14ac:dyDescent="0.25">
      <c r="A127" s="1" t="s">
        <v>127</v>
      </c>
      <c r="B127" s="6">
        <v>717.00511666666716</v>
      </c>
    </row>
    <row r="128" spans="1:2" ht="14" customHeight="1" x14ac:dyDescent="0.25">
      <c r="A128" s="1" t="s">
        <v>128</v>
      </c>
      <c r="B128" s="6">
        <v>720.16029999999955</v>
      </c>
    </row>
    <row r="129" spans="1:2" ht="14" customHeight="1" x14ac:dyDescent="0.25">
      <c r="A129" s="1" t="s">
        <v>129</v>
      </c>
      <c r="B129" s="6">
        <v>717.05486666666661</v>
      </c>
    </row>
    <row r="130" spans="1:2" ht="14" customHeight="1" x14ac:dyDescent="0.25">
      <c r="A130" s="1" t="s">
        <v>130</v>
      </c>
      <c r="B130" s="6">
        <v>720.44596666666553</v>
      </c>
    </row>
    <row r="131" spans="1:2" ht="14" customHeight="1" x14ac:dyDescent="0.25">
      <c r="A131" s="1" t="s">
        <v>131</v>
      </c>
      <c r="B131" s="6">
        <v>738.13471666666794</v>
      </c>
    </row>
    <row r="132" spans="1:2" ht="14" customHeight="1" x14ac:dyDescent="0.25">
      <c r="A132" s="1" t="s">
        <v>132</v>
      </c>
      <c r="B132" s="6">
        <v>671.69356666666658</v>
      </c>
    </row>
    <row r="133" spans="1:2" ht="14" customHeight="1" x14ac:dyDescent="0.25">
      <c r="A133" s="1" t="s">
        <v>133</v>
      </c>
      <c r="B133" s="6">
        <v>1393.7903166666661</v>
      </c>
    </row>
    <row r="134" spans="1:2" ht="14" customHeight="1" x14ac:dyDescent="0.25">
      <c r="A134" s="1" t="s">
        <v>134</v>
      </c>
      <c r="B134" s="6">
        <v>1384.898899999999</v>
      </c>
    </row>
    <row r="135" spans="1:2" ht="14" customHeight="1" x14ac:dyDescent="0.25">
      <c r="A135" s="1" t="s">
        <v>135</v>
      </c>
      <c r="B135" s="6">
        <v>568.82604999999796</v>
      </c>
    </row>
    <row r="136" spans="1:2" ht="14" customHeight="1" x14ac:dyDescent="0.25">
      <c r="A136" s="1" t="s">
        <v>136</v>
      </c>
      <c r="B136" s="6">
        <v>1396.9885499999989</v>
      </c>
    </row>
    <row r="137" spans="1:2" ht="14" customHeight="1" x14ac:dyDescent="0.25">
      <c r="A137" s="1" t="s">
        <v>137</v>
      </c>
      <c r="B137" s="6">
        <v>1397.759866666664</v>
      </c>
    </row>
    <row r="138" spans="1:2" ht="14" customHeight="1" x14ac:dyDescent="0.25">
      <c r="A138" s="1" t="s">
        <v>138</v>
      </c>
      <c r="B138" s="6">
        <v>567.73540799536727</v>
      </c>
    </row>
    <row r="139" spans="1:2" ht="14" customHeight="1" x14ac:dyDescent="0.25">
      <c r="A139" s="1" t="s">
        <v>139</v>
      </c>
      <c r="B139" s="6">
        <v>1399.8737666666721</v>
      </c>
    </row>
    <row r="140" spans="1:2" ht="14" customHeight="1" x14ac:dyDescent="0.25">
      <c r="A140" s="1" t="s">
        <v>140</v>
      </c>
      <c r="B140" s="6">
        <v>567.83015000000034</v>
      </c>
    </row>
    <row r="141" spans="1:2" ht="14" customHeight="1" x14ac:dyDescent="0.25">
      <c r="A141" s="1" t="s">
        <v>141</v>
      </c>
      <c r="B141" s="6">
        <v>569.52529999999933</v>
      </c>
    </row>
    <row r="142" spans="1:2" ht="14" customHeight="1" x14ac:dyDescent="0.25">
      <c r="A142" s="1" t="s">
        <v>142</v>
      </c>
      <c r="B142" s="6">
        <v>1403.6635166666661</v>
      </c>
    </row>
    <row r="143" spans="1:2" ht="14" customHeight="1" x14ac:dyDescent="0.25">
      <c r="A143" s="1" t="s">
        <v>143</v>
      </c>
      <c r="B143" s="6">
        <v>630.10499827404055</v>
      </c>
    </row>
    <row r="144" spans="1:2" ht="14" customHeight="1" x14ac:dyDescent="0.25">
      <c r="A144" s="1" t="s">
        <v>144</v>
      </c>
      <c r="B144" s="6">
        <v>573.17683333334082</v>
      </c>
    </row>
    <row r="145" spans="1:2" ht="14" customHeight="1" x14ac:dyDescent="0.25">
      <c r="A145" s="1" t="s">
        <v>145</v>
      </c>
      <c r="B145" s="6">
        <v>574.12098333333324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defaultColWidth="18" defaultRowHeight="14" customHeight="1" x14ac:dyDescent="0.35"/>
  <cols>
    <col min="1" max="1" width="28" style="2" customWidth="1"/>
    <col min="2" max="3" width="18" customWidth="1"/>
    <col min="4" max="4" width="18" style="2" customWidth="1"/>
    <col min="5" max="5" width="18" customWidth="1"/>
    <col min="6" max="16384" width="18" style="2"/>
  </cols>
  <sheetData>
    <row r="1" spans="1:5" s="1" customFormat="1" ht="14" customHeight="1" x14ac:dyDescent="0.35">
      <c r="A1" s="4" t="s">
        <v>0</v>
      </c>
      <c r="B1" s="4" t="s">
        <v>146</v>
      </c>
      <c r="C1" s="4" t="s">
        <v>147</v>
      </c>
      <c r="D1" s="4" t="s">
        <v>148</v>
      </c>
      <c r="E1" s="4" t="s">
        <v>149</v>
      </c>
    </row>
    <row r="2" spans="1:5" s="1" customFormat="1" ht="14" customHeight="1" x14ac:dyDescent="0.35">
      <c r="A2" s="1" t="s">
        <v>150</v>
      </c>
      <c r="B2" s="7">
        <v>4226.3109229360052</v>
      </c>
      <c r="C2" s="7">
        <v>0</v>
      </c>
      <c r="D2" s="3" t="s">
        <v>151</v>
      </c>
      <c r="E2" s="7">
        <v>6000</v>
      </c>
    </row>
    <row r="3" spans="1:5" s="1" customFormat="1" ht="14" customHeight="1" x14ac:dyDescent="0.35">
      <c r="A3" s="1" t="s">
        <v>152</v>
      </c>
      <c r="B3" s="7">
        <v>833.3333333332705</v>
      </c>
      <c r="C3" s="7">
        <v>6956.9813772166062</v>
      </c>
      <c r="D3" s="3" t="s">
        <v>153</v>
      </c>
      <c r="E3" s="7">
        <v>6000</v>
      </c>
    </row>
    <row r="4" spans="1:5" s="1" customFormat="1" ht="14" customHeight="1" x14ac:dyDescent="0.35">
      <c r="A4" s="1" t="s">
        <v>154</v>
      </c>
      <c r="B4" s="7">
        <v>4448.6338450555868</v>
      </c>
      <c r="C4" s="7">
        <v>1702.996983333325</v>
      </c>
    </row>
    <row r="5" spans="1:5" s="1" customFormat="1" ht="14" customHeight="1" x14ac:dyDescent="0.35">
      <c r="A5" s="1" t="s">
        <v>155</v>
      </c>
      <c r="B5" s="7">
        <v>5274.788092592572</v>
      </c>
      <c r="C5" s="7">
        <v>91.101383333323781</v>
      </c>
    </row>
    <row r="6" spans="1:5" s="1" customFormat="1" ht="14" customHeight="1" x14ac:dyDescent="0.35">
      <c r="A6" s="1" t="s">
        <v>156</v>
      </c>
      <c r="B6" s="7">
        <v>0</v>
      </c>
      <c r="C6" s="7">
        <v>6247.4915446182313</v>
      </c>
    </row>
    <row r="7" spans="1:5" s="1" customFormat="1" ht="14" customHeight="1" x14ac:dyDescent="0.35">
      <c r="A7" s="1" t="s">
        <v>157</v>
      </c>
      <c r="B7" s="7">
        <v>5059.6442562694519</v>
      </c>
      <c r="C7" s="7">
        <v>2859.868116666707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12" width="18" customWidth="1"/>
  </cols>
  <sheetData>
    <row r="1" spans="1:12" ht="15" x14ac:dyDescent="0.35">
      <c r="A1" s="8" t="s">
        <v>0</v>
      </c>
      <c r="B1" s="8" t="s">
        <v>158</v>
      </c>
      <c r="C1" s="8" t="s">
        <v>159</v>
      </c>
      <c r="D1" s="8" t="s">
        <v>160</v>
      </c>
      <c r="E1" s="8" t="s">
        <v>161</v>
      </c>
      <c r="F1" s="8" t="s">
        <v>162</v>
      </c>
      <c r="G1" s="8" t="s">
        <v>163</v>
      </c>
      <c r="H1" s="8" t="s">
        <v>164</v>
      </c>
      <c r="I1" s="8" t="s">
        <v>165</v>
      </c>
      <c r="J1" s="8" t="s">
        <v>166</v>
      </c>
      <c r="K1" s="8" t="s">
        <v>167</v>
      </c>
      <c r="L1" s="8" t="s">
        <v>168</v>
      </c>
    </row>
    <row r="2" spans="1:12" x14ac:dyDescent="0.35">
      <c r="A2" t="s">
        <v>2</v>
      </c>
      <c r="B2" s="7">
        <v>0.42480000000000001</v>
      </c>
      <c r="C2" s="7">
        <v>3439.8465999999999</v>
      </c>
      <c r="D2" s="7">
        <v>0</v>
      </c>
      <c r="E2" s="7">
        <v>8439.8466000000008</v>
      </c>
      <c r="F2" s="7">
        <v>5000.0000000000009</v>
      </c>
      <c r="G2" s="7">
        <v>0</v>
      </c>
      <c r="H2" s="7">
        <v>0</v>
      </c>
      <c r="I2" s="7">
        <v>6000</v>
      </c>
      <c r="J2" s="7">
        <v>6790.569415042095</v>
      </c>
      <c r="K2" s="7">
        <f t="shared" ref="K2:K33" si="0">E2/6</f>
        <v>1406.6411000000001</v>
      </c>
      <c r="L2" s="7">
        <f t="shared" ref="L2:L33" si="1">B2*K2</f>
        <v>597.54113928000004</v>
      </c>
    </row>
    <row r="3" spans="1:12" x14ac:dyDescent="0.35">
      <c r="A3" t="s">
        <v>3</v>
      </c>
      <c r="B3" s="7">
        <v>0.42449999999999999</v>
      </c>
      <c r="C3" s="7">
        <v>3437.9792000000002</v>
      </c>
      <c r="D3" s="7">
        <v>0</v>
      </c>
      <c r="E3" s="7">
        <v>8437.9792000000489</v>
      </c>
      <c r="F3" s="7">
        <v>4999.9999999999591</v>
      </c>
      <c r="G3" s="7">
        <v>0</v>
      </c>
      <c r="H3" s="7">
        <v>0</v>
      </c>
      <c r="I3" s="7">
        <v>6790.569415042095</v>
      </c>
      <c r="J3" s="7">
        <v>7581.1388300841982</v>
      </c>
      <c r="K3" s="7">
        <f t="shared" si="0"/>
        <v>1406.3298666666749</v>
      </c>
      <c r="L3" s="7">
        <f t="shared" si="1"/>
        <v>596.98702840000351</v>
      </c>
    </row>
    <row r="4" spans="1:12" x14ac:dyDescent="0.35">
      <c r="A4" t="s">
        <v>4</v>
      </c>
      <c r="B4" s="7">
        <v>0.4269</v>
      </c>
      <c r="C4" s="7">
        <v>3444.3031000000001</v>
      </c>
      <c r="D4" s="7">
        <v>0</v>
      </c>
      <c r="E4" s="7">
        <v>8444.303100000001</v>
      </c>
      <c r="F4" s="7">
        <v>5000.00000000004</v>
      </c>
      <c r="G4" s="7">
        <v>0</v>
      </c>
      <c r="H4" s="7">
        <v>0</v>
      </c>
      <c r="I4" s="7">
        <v>7581.1388300841982</v>
      </c>
      <c r="J4" s="7">
        <v>8371.7082451262922</v>
      </c>
      <c r="K4" s="7">
        <f t="shared" si="0"/>
        <v>1407.3838500000002</v>
      </c>
      <c r="L4" s="7">
        <f t="shared" si="1"/>
        <v>600.8121655650001</v>
      </c>
    </row>
    <row r="5" spans="1:12" x14ac:dyDescent="0.35">
      <c r="A5" t="s">
        <v>5</v>
      </c>
      <c r="B5" s="7">
        <v>0.42720000000000002</v>
      </c>
      <c r="C5" s="7">
        <v>3454.4436999999998</v>
      </c>
      <c r="D5" s="7">
        <v>0</v>
      </c>
      <c r="E5" s="7">
        <v>8454.4437000000053</v>
      </c>
      <c r="F5" s="7">
        <v>4999.9999999999054</v>
      </c>
      <c r="G5" s="7">
        <v>0</v>
      </c>
      <c r="H5" s="7">
        <v>0</v>
      </c>
      <c r="I5" s="7">
        <v>8371.7082451262922</v>
      </c>
      <c r="J5" s="7">
        <v>9162.277660168389</v>
      </c>
      <c r="K5" s="7">
        <f t="shared" si="0"/>
        <v>1409.0739500000009</v>
      </c>
      <c r="L5" s="7">
        <f t="shared" si="1"/>
        <v>601.9563914400004</v>
      </c>
    </row>
    <row r="6" spans="1:12" x14ac:dyDescent="0.35">
      <c r="A6" t="s">
        <v>6</v>
      </c>
      <c r="B6" s="7">
        <v>0.42709999999999998</v>
      </c>
      <c r="C6" s="7">
        <v>3458.8272999999999</v>
      </c>
      <c r="D6" s="7">
        <v>0</v>
      </c>
      <c r="E6" s="7">
        <v>8458.8272999999917</v>
      </c>
      <c r="F6" s="7">
        <v>5000.0000000000045</v>
      </c>
      <c r="G6" s="7">
        <v>0</v>
      </c>
      <c r="H6" s="7">
        <v>0</v>
      </c>
      <c r="I6" s="7">
        <v>9162.277660168389</v>
      </c>
      <c r="J6" s="7">
        <v>9952.8470752104822</v>
      </c>
      <c r="K6" s="7">
        <f t="shared" si="0"/>
        <v>1409.8045499999987</v>
      </c>
      <c r="L6" s="7">
        <f t="shared" si="1"/>
        <v>602.12752330499939</v>
      </c>
    </row>
    <row r="7" spans="1:12" x14ac:dyDescent="0.35">
      <c r="A7" t="s">
        <v>7</v>
      </c>
      <c r="B7" s="7">
        <v>0.42849999999999999</v>
      </c>
      <c r="C7" s="7">
        <v>3459.8400999999999</v>
      </c>
      <c r="D7" s="7">
        <v>0</v>
      </c>
      <c r="E7" s="7">
        <v>3459.8400999994019</v>
      </c>
      <c r="F7" s="7">
        <v>0</v>
      </c>
      <c r="G7" s="7">
        <v>0</v>
      </c>
      <c r="H7" s="7">
        <v>0</v>
      </c>
      <c r="I7" s="7">
        <v>9952.8470752104822</v>
      </c>
      <c r="J7" s="7">
        <v>9952.8470752103876</v>
      </c>
      <c r="K7" s="7">
        <f t="shared" si="0"/>
        <v>576.64001666656702</v>
      </c>
      <c r="L7" s="7">
        <f t="shared" si="1"/>
        <v>247.09024714162396</v>
      </c>
    </row>
    <row r="8" spans="1:12" x14ac:dyDescent="0.35">
      <c r="A8" t="s">
        <v>8</v>
      </c>
      <c r="B8" s="7">
        <v>0.43109999999999998</v>
      </c>
      <c r="C8" s="7">
        <v>3467.1581999999999</v>
      </c>
      <c r="D8" s="7">
        <v>0</v>
      </c>
      <c r="E8" s="7">
        <v>3467.1581999999762</v>
      </c>
      <c r="F8" s="7">
        <v>0</v>
      </c>
      <c r="G8" s="7">
        <v>0</v>
      </c>
      <c r="H8" s="7">
        <v>0</v>
      </c>
      <c r="I8" s="7">
        <v>9952.8470752103876</v>
      </c>
      <c r="J8" s="7">
        <v>9952.847075210384</v>
      </c>
      <c r="K8" s="7">
        <f t="shared" si="0"/>
        <v>577.859699999996</v>
      </c>
      <c r="L8" s="7">
        <f t="shared" si="1"/>
        <v>249.11531666999826</v>
      </c>
    </row>
    <row r="9" spans="1:12" x14ac:dyDescent="0.35">
      <c r="A9" t="s">
        <v>9</v>
      </c>
      <c r="B9" s="7">
        <v>0.43020000000000003</v>
      </c>
      <c r="C9" s="7">
        <v>3467.9632000000001</v>
      </c>
      <c r="D9" s="7">
        <v>0</v>
      </c>
      <c r="E9" s="7">
        <v>3467.963199999992</v>
      </c>
      <c r="F9" s="7">
        <v>0</v>
      </c>
      <c r="G9" s="7">
        <v>0</v>
      </c>
      <c r="H9" s="7">
        <v>0</v>
      </c>
      <c r="I9" s="7">
        <v>9952.847075210384</v>
      </c>
      <c r="J9" s="7">
        <v>9952.8470752103804</v>
      </c>
      <c r="K9" s="7">
        <f t="shared" si="0"/>
        <v>577.99386666666533</v>
      </c>
      <c r="L9" s="7">
        <f t="shared" si="1"/>
        <v>248.65296143999944</v>
      </c>
    </row>
    <row r="10" spans="1:12" x14ac:dyDescent="0.35">
      <c r="A10" t="s">
        <v>10</v>
      </c>
      <c r="B10" s="7">
        <v>0.4279</v>
      </c>
      <c r="C10" s="7">
        <v>3466.9683</v>
      </c>
      <c r="D10" s="7">
        <v>0</v>
      </c>
      <c r="E10" s="7">
        <v>3824.8338376170268</v>
      </c>
      <c r="F10" s="7">
        <v>357.86553761706722</v>
      </c>
      <c r="G10" s="7">
        <v>0</v>
      </c>
      <c r="H10" s="7">
        <v>0</v>
      </c>
      <c r="I10" s="7">
        <v>9952.8470752103804</v>
      </c>
      <c r="J10" s="7">
        <v>10009.4305849579</v>
      </c>
      <c r="K10" s="7">
        <f t="shared" si="0"/>
        <v>637.47230626950443</v>
      </c>
      <c r="L10" s="7">
        <f t="shared" si="1"/>
        <v>272.77439985272093</v>
      </c>
    </row>
    <row r="11" spans="1:12" x14ac:dyDescent="0.35">
      <c r="A11" t="s">
        <v>11</v>
      </c>
      <c r="B11" s="7">
        <v>0.43120000000000003</v>
      </c>
      <c r="C11" s="7">
        <v>3482.4926999999998</v>
      </c>
      <c r="D11" s="7">
        <v>0</v>
      </c>
      <c r="E11" s="7">
        <v>3482.4927000000639</v>
      </c>
      <c r="F11" s="7">
        <v>0</v>
      </c>
      <c r="G11" s="7">
        <v>0</v>
      </c>
      <c r="H11" s="7">
        <v>0</v>
      </c>
      <c r="I11" s="7">
        <v>10009.4305849579</v>
      </c>
      <c r="J11" s="7">
        <v>10009.43058495791</v>
      </c>
      <c r="K11" s="7">
        <f t="shared" si="0"/>
        <v>580.41545000001065</v>
      </c>
      <c r="L11" s="7">
        <f t="shared" si="1"/>
        <v>250.2751420400046</v>
      </c>
    </row>
    <row r="12" spans="1:12" x14ac:dyDescent="0.35">
      <c r="A12" t="s">
        <v>12</v>
      </c>
      <c r="B12" s="7">
        <v>0.43330000000000002</v>
      </c>
      <c r="C12" s="7">
        <v>3495.0841</v>
      </c>
      <c r="D12" s="7">
        <v>0</v>
      </c>
      <c r="E12" s="7">
        <v>3495.0840999999832</v>
      </c>
      <c r="F12" s="7">
        <v>0</v>
      </c>
      <c r="G12" s="7">
        <v>0</v>
      </c>
      <c r="H12" s="7">
        <v>0</v>
      </c>
      <c r="I12" s="7">
        <v>10009.43058495791</v>
      </c>
      <c r="J12" s="7">
        <v>10009.43058495791</v>
      </c>
      <c r="K12" s="7">
        <f t="shared" si="0"/>
        <v>582.51401666666391</v>
      </c>
      <c r="L12" s="7">
        <f t="shared" si="1"/>
        <v>252.40332342166548</v>
      </c>
    </row>
    <row r="13" spans="1:12" x14ac:dyDescent="0.35">
      <c r="A13" t="s">
        <v>13</v>
      </c>
      <c r="B13" s="7">
        <v>0.43109999999999998</v>
      </c>
      <c r="C13" s="7">
        <v>3498.4443000000001</v>
      </c>
      <c r="D13" s="7">
        <v>0</v>
      </c>
      <c r="E13" s="7">
        <v>3498.4442999999528</v>
      </c>
      <c r="F13" s="7">
        <v>0</v>
      </c>
      <c r="G13" s="7">
        <v>0</v>
      </c>
      <c r="H13" s="7">
        <v>0</v>
      </c>
      <c r="I13" s="7">
        <v>10009.43058495791</v>
      </c>
      <c r="J13" s="7">
        <v>10009.4305849579</v>
      </c>
      <c r="K13" s="7">
        <f t="shared" si="0"/>
        <v>583.0740499999921</v>
      </c>
      <c r="L13" s="7">
        <f t="shared" si="1"/>
        <v>251.36322295499659</v>
      </c>
    </row>
    <row r="14" spans="1:12" x14ac:dyDescent="0.35">
      <c r="A14" t="s">
        <v>14</v>
      </c>
      <c r="B14" s="7">
        <v>0.42930000000000001</v>
      </c>
      <c r="C14" s="7">
        <v>3505.2294999999999</v>
      </c>
      <c r="D14" s="7">
        <v>0</v>
      </c>
      <c r="E14" s="7">
        <v>3505.2295000000581</v>
      </c>
      <c r="F14" s="7">
        <v>0</v>
      </c>
      <c r="G14" s="7">
        <v>0</v>
      </c>
      <c r="H14" s="7">
        <v>0</v>
      </c>
      <c r="I14" s="7">
        <v>10009.4305849579</v>
      </c>
      <c r="J14" s="7">
        <v>10009.43058495791</v>
      </c>
      <c r="K14" s="7">
        <f t="shared" si="0"/>
        <v>584.20491666667635</v>
      </c>
      <c r="L14" s="7">
        <f t="shared" si="1"/>
        <v>250.79917072500416</v>
      </c>
    </row>
    <row r="15" spans="1:12" x14ac:dyDescent="0.35">
      <c r="A15" t="s">
        <v>15</v>
      </c>
      <c r="B15" s="7">
        <v>0.43240000000000001</v>
      </c>
      <c r="C15" s="7">
        <v>3512.6387</v>
      </c>
      <c r="D15" s="7">
        <v>0</v>
      </c>
      <c r="E15" s="7">
        <v>3512.6386999999918</v>
      </c>
      <c r="F15" s="7">
        <v>0</v>
      </c>
      <c r="G15" s="7">
        <v>0</v>
      </c>
      <c r="H15" s="7">
        <v>0</v>
      </c>
      <c r="I15" s="7">
        <v>10009.43058495791</v>
      </c>
      <c r="J15" s="7">
        <v>10009.43058495791</v>
      </c>
      <c r="K15" s="7">
        <f t="shared" si="0"/>
        <v>585.439783333332</v>
      </c>
      <c r="L15" s="7">
        <f t="shared" si="1"/>
        <v>253.14416231333277</v>
      </c>
    </row>
    <row r="16" spans="1:12" x14ac:dyDescent="0.35">
      <c r="A16" t="s">
        <v>16</v>
      </c>
      <c r="B16" s="7">
        <v>0.43669999999999998</v>
      </c>
      <c r="C16" s="7">
        <v>3516.8685</v>
      </c>
      <c r="D16" s="7">
        <v>0</v>
      </c>
      <c r="E16" s="7">
        <v>3516.8684999999491</v>
      </c>
      <c r="F16" s="7">
        <v>0</v>
      </c>
      <c r="G16" s="7">
        <v>0</v>
      </c>
      <c r="H16" s="7">
        <v>0</v>
      </c>
      <c r="I16" s="7">
        <v>10009.43058495791</v>
      </c>
      <c r="J16" s="7">
        <v>10009.4305849579</v>
      </c>
      <c r="K16" s="7">
        <f t="shared" si="0"/>
        <v>586.14474999999152</v>
      </c>
      <c r="L16" s="7">
        <f t="shared" si="1"/>
        <v>255.96941232499628</v>
      </c>
    </row>
    <row r="17" spans="1:12" x14ac:dyDescent="0.35">
      <c r="A17" t="s">
        <v>17</v>
      </c>
      <c r="B17" s="7">
        <v>0.43480000000000002</v>
      </c>
      <c r="C17" s="7">
        <v>3517.9245999999998</v>
      </c>
      <c r="D17" s="7">
        <v>0</v>
      </c>
      <c r="E17" s="7">
        <v>3517.9245999999412</v>
      </c>
      <c r="F17" s="7">
        <v>0</v>
      </c>
      <c r="G17" s="7">
        <v>0</v>
      </c>
      <c r="H17" s="7">
        <v>0</v>
      </c>
      <c r="I17" s="7">
        <v>10009.4305849579</v>
      </c>
      <c r="J17" s="7">
        <v>10009.43058495789</v>
      </c>
      <c r="K17" s="7">
        <f t="shared" si="0"/>
        <v>586.32076666665682</v>
      </c>
      <c r="L17" s="7">
        <f t="shared" si="1"/>
        <v>254.93226934666239</v>
      </c>
    </row>
    <row r="18" spans="1:12" x14ac:dyDescent="0.35">
      <c r="A18" t="s">
        <v>18</v>
      </c>
      <c r="B18" s="7">
        <v>0.4335</v>
      </c>
      <c r="C18" s="7">
        <v>3518.5518000000002</v>
      </c>
      <c r="D18" s="7">
        <v>0</v>
      </c>
      <c r="E18" s="7">
        <v>3518.551799999997</v>
      </c>
      <c r="F18" s="7">
        <v>0</v>
      </c>
      <c r="G18" s="7">
        <v>0</v>
      </c>
      <c r="H18" s="7">
        <v>0</v>
      </c>
      <c r="I18" s="7">
        <v>10009.43058495789</v>
      </c>
      <c r="J18" s="7">
        <v>10009.43058495789</v>
      </c>
      <c r="K18" s="7">
        <f t="shared" si="0"/>
        <v>586.42529999999954</v>
      </c>
      <c r="L18" s="7">
        <f t="shared" si="1"/>
        <v>254.2153675499998</v>
      </c>
    </row>
    <row r="19" spans="1:12" x14ac:dyDescent="0.35">
      <c r="A19" t="s">
        <v>19</v>
      </c>
      <c r="B19" s="7">
        <v>0.43569999999999998</v>
      </c>
      <c r="C19" s="7">
        <v>3521.0976000000001</v>
      </c>
      <c r="D19" s="7">
        <v>0</v>
      </c>
      <c r="E19" s="7">
        <v>3521.0975999999459</v>
      </c>
      <c r="F19" s="7">
        <v>0</v>
      </c>
      <c r="G19" s="7">
        <v>0</v>
      </c>
      <c r="H19" s="7">
        <v>0</v>
      </c>
      <c r="I19" s="7">
        <v>10009.43058495789</v>
      </c>
      <c r="J19" s="7">
        <v>10009.43058495789</v>
      </c>
      <c r="K19" s="7">
        <f t="shared" si="0"/>
        <v>586.84959999999103</v>
      </c>
      <c r="L19" s="7">
        <f t="shared" si="1"/>
        <v>255.69037071999608</v>
      </c>
    </row>
    <row r="20" spans="1:12" x14ac:dyDescent="0.35">
      <c r="A20" t="s">
        <v>20</v>
      </c>
      <c r="B20" s="7">
        <v>0.43740000000000001</v>
      </c>
      <c r="C20" s="7">
        <v>3526.9261000000001</v>
      </c>
      <c r="D20" s="7">
        <v>0</v>
      </c>
      <c r="E20" s="7">
        <v>3526.9260999999278</v>
      </c>
      <c r="F20" s="7">
        <v>0</v>
      </c>
      <c r="G20" s="7">
        <v>0</v>
      </c>
      <c r="H20" s="7">
        <v>0</v>
      </c>
      <c r="I20" s="7">
        <v>10009.43058495789</v>
      </c>
      <c r="J20" s="7">
        <v>10009.43058495787</v>
      </c>
      <c r="K20" s="7">
        <f t="shared" si="0"/>
        <v>587.8210166666546</v>
      </c>
      <c r="L20" s="7">
        <f t="shared" si="1"/>
        <v>257.11291268999474</v>
      </c>
    </row>
    <row r="21" spans="1:12" x14ac:dyDescent="0.35">
      <c r="A21" t="s">
        <v>21</v>
      </c>
      <c r="B21" s="7">
        <v>0.43709999999999999</v>
      </c>
      <c r="C21" s="7">
        <v>3537.2854000000002</v>
      </c>
      <c r="D21" s="7">
        <v>0</v>
      </c>
      <c r="E21" s="7">
        <v>3537.2853999999979</v>
      </c>
      <c r="F21" s="7">
        <v>0</v>
      </c>
      <c r="G21" s="7">
        <v>0</v>
      </c>
      <c r="H21" s="7">
        <v>0</v>
      </c>
      <c r="I21" s="7">
        <v>10009.43058495787</v>
      </c>
      <c r="J21" s="7">
        <v>10009.43058495787</v>
      </c>
      <c r="K21" s="7">
        <f t="shared" si="0"/>
        <v>589.54756666666628</v>
      </c>
      <c r="L21" s="7">
        <f t="shared" si="1"/>
        <v>257.69124138999985</v>
      </c>
    </row>
    <row r="22" spans="1:12" x14ac:dyDescent="0.35">
      <c r="A22" t="s">
        <v>22</v>
      </c>
      <c r="B22" s="7">
        <v>0.43559999999999999</v>
      </c>
      <c r="C22" s="7">
        <v>3544.8807999999999</v>
      </c>
      <c r="D22" s="7">
        <v>0</v>
      </c>
      <c r="E22" s="7">
        <v>3544.880799999984</v>
      </c>
      <c r="F22" s="7">
        <v>0</v>
      </c>
      <c r="G22" s="7">
        <v>0</v>
      </c>
      <c r="H22" s="7">
        <v>0</v>
      </c>
      <c r="I22" s="7">
        <v>10009.43058495787</v>
      </c>
      <c r="J22" s="7">
        <v>10009.43058495787</v>
      </c>
      <c r="K22" s="7">
        <f t="shared" si="0"/>
        <v>590.813466666664</v>
      </c>
      <c r="L22" s="7">
        <f t="shared" si="1"/>
        <v>257.35834607999885</v>
      </c>
    </row>
    <row r="23" spans="1:12" x14ac:dyDescent="0.35">
      <c r="A23" t="s">
        <v>23</v>
      </c>
      <c r="B23" s="7">
        <v>0.43530000000000002</v>
      </c>
      <c r="C23" s="7">
        <v>3541.2786999999998</v>
      </c>
      <c r="D23" s="7">
        <v>0</v>
      </c>
      <c r="E23" s="7">
        <v>3541.2787000000039</v>
      </c>
      <c r="F23" s="7">
        <v>0</v>
      </c>
      <c r="G23" s="7">
        <v>0</v>
      </c>
      <c r="H23" s="7">
        <v>0</v>
      </c>
      <c r="I23" s="7">
        <v>10009.43058495787</v>
      </c>
      <c r="J23" s="7">
        <v>10009.43058495787</v>
      </c>
      <c r="K23" s="7">
        <f t="shared" si="0"/>
        <v>590.21311666666736</v>
      </c>
      <c r="L23" s="7">
        <f t="shared" si="1"/>
        <v>256.91976968500029</v>
      </c>
    </row>
    <row r="24" spans="1:12" x14ac:dyDescent="0.35">
      <c r="A24" t="s">
        <v>24</v>
      </c>
      <c r="B24" s="7">
        <v>0.436</v>
      </c>
      <c r="C24" s="7">
        <v>3546.3975999999998</v>
      </c>
      <c r="D24" s="7">
        <v>0</v>
      </c>
      <c r="E24" s="7">
        <v>3546.3975999999839</v>
      </c>
      <c r="F24" s="7">
        <v>0</v>
      </c>
      <c r="G24" s="7">
        <v>0</v>
      </c>
      <c r="H24" s="7">
        <v>0</v>
      </c>
      <c r="I24" s="7">
        <v>10009.43058495787</v>
      </c>
      <c r="J24" s="7">
        <v>10009.43058495787</v>
      </c>
      <c r="K24" s="7">
        <f t="shared" si="0"/>
        <v>591.06626666666398</v>
      </c>
      <c r="L24" s="7">
        <f t="shared" si="1"/>
        <v>257.70489226666547</v>
      </c>
    </row>
    <row r="25" spans="1:12" x14ac:dyDescent="0.35">
      <c r="A25" t="s">
        <v>25</v>
      </c>
      <c r="B25" s="7">
        <v>0.43780000000000002</v>
      </c>
      <c r="C25" s="7">
        <v>3560.2069999999999</v>
      </c>
      <c r="D25" s="7">
        <v>0</v>
      </c>
      <c r="E25" s="7">
        <v>3560.2069999999908</v>
      </c>
      <c r="F25" s="7">
        <v>0</v>
      </c>
      <c r="G25" s="7">
        <v>0</v>
      </c>
      <c r="H25" s="7">
        <v>0</v>
      </c>
      <c r="I25" s="7">
        <v>10009.43058495787</v>
      </c>
      <c r="J25" s="7">
        <v>10009.43058495787</v>
      </c>
      <c r="K25" s="7">
        <f t="shared" si="0"/>
        <v>593.36783333333176</v>
      </c>
      <c r="L25" s="7">
        <f t="shared" si="1"/>
        <v>259.77643743333266</v>
      </c>
    </row>
    <row r="26" spans="1:12" x14ac:dyDescent="0.35">
      <c r="A26" t="s">
        <v>26</v>
      </c>
      <c r="B26" s="7">
        <v>0.44009999999999999</v>
      </c>
      <c r="C26" s="7">
        <v>3561.9580999999998</v>
      </c>
      <c r="D26" s="7">
        <v>0</v>
      </c>
      <c r="E26" s="7">
        <v>3561.9581000000039</v>
      </c>
      <c r="F26" s="7">
        <v>0</v>
      </c>
      <c r="G26" s="7">
        <v>0</v>
      </c>
      <c r="H26" s="7">
        <v>0</v>
      </c>
      <c r="I26" s="7">
        <v>10009.43058495787</v>
      </c>
      <c r="J26" s="7">
        <v>10009.43058495787</v>
      </c>
      <c r="K26" s="7">
        <f t="shared" si="0"/>
        <v>593.65968333333399</v>
      </c>
      <c r="L26" s="7">
        <f t="shared" si="1"/>
        <v>261.26962663500029</v>
      </c>
    </row>
    <row r="27" spans="1:12" x14ac:dyDescent="0.35">
      <c r="A27" t="s">
        <v>27</v>
      </c>
      <c r="B27" s="7">
        <v>0.43890000000000001</v>
      </c>
      <c r="C27" s="7">
        <v>3556.7183</v>
      </c>
      <c r="D27" s="7">
        <v>0</v>
      </c>
      <c r="E27" s="7">
        <v>3556.718300000106</v>
      </c>
      <c r="F27" s="7">
        <v>0</v>
      </c>
      <c r="G27" s="7">
        <v>0</v>
      </c>
      <c r="H27" s="7">
        <v>0</v>
      </c>
      <c r="I27" s="7">
        <v>10009.43058495787</v>
      </c>
      <c r="J27" s="7">
        <v>10009.43058495789</v>
      </c>
      <c r="K27" s="7">
        <f t="shared" si="0"/>
        <v>592.78638333335095</v>
      </c>
      <c r="L27" s="7">
        <f t="shared" si="1"/>
        <v>260.17394364500774</v>
      </c>
    </row>
    <row r="28" spans="1:12" x14ac:dyDescent="0.35">
      <c r="A28" t="s">
        <v>28</v>
      </c>
      <c r="B28" s="7">
        <v>0.43640000000000001</v>
      </c>
      <c r="C28" s="7">
        <v>3560.0272</v>
      </c>
      <c r="D28" s="7">
        <v>0</v>
      </c>
      <c r="E28" s="7">
        <v>3560.027199999995</v>
      </c>
      <c r="F28" s="7">
        <v>0</v>
      </c>
      <c r="G28" s="7">
        <v>0</v>
      </c>
      <c r="H28" s="7">
        <v>0</v>
      </c>
      <c r="I28" s="7">
        <v>10009.43058495789</v>
      </c>
      <c r="J28" s="7">
        <v>10009.43058495789</v>
      </c>
      <c r="K28" s="7">
        <f t="shared" si="0"/>
        <v>593.33786666666583</v>
      </c>
      <c r="L28" s="7">
        <f t="shared" si="1"/>
        <v>258.932645013333</v>
      </c>
    </row>
    <row r="29" spans="1:12" x14ac:dyDescent="0.35">
      <c r="A29" t="s">
        <v>29</v>
      </c>
      <c r="B29" s="7">
        <v>0.43930000000000002</v>
      </c>
      <c r="C29" s="7">
        <v>3580.654</v>
      </c>
      <c r="D29" s="7">
        <v>0.59940000000000004</v>
      </c>
      <c r="E29" s="7">
        <v>3580.0545999999999</v>
      </c>
      <c r="F29" s="7">
        <v>0</v>
      </c>
      <c r="G29" s="7">
        <v>0</v>
      </c>
      <c r="H29" s="7">
        <v>0</v>
      </c>
      <c r="I29" s="7">
        <v>10009.43058495789</v>
      </c>
      <c r="J29" s="7">
        <v>10009.43058495789</v>
      </c>
      <c r="K29" s="7">
        <f t="shared" si="0"/>
        <v>596.67576666666662</v>
      </c>
      <c r="L29" s="7">
        <f t="shared" si="1"/>
        <v>262.11966429666666</v>
      </c>
    </row>
    <row r="30" spans="1:12" x14ac:dyDescent="0.35">
      <c r="A30" t="s">
        <v>30</v>
      </c>
      <c r="B30" s="7">
        <v>0.44219999999999998</v>
      </c>
      <c r="C30" s="7">
        <v>3586.9160000000002</v>
      </c>
      <c r="D30" s="7">
        <v>0.23449999999999999</v>
      </c>
      <c r="E30" s="7">
        <v>3586.6815000000001</v>
      </c>
      <c r="F30" s="7">
        <v>0</v>
      </c>
      <c r="G30" s="7">
        <v>0</v>
      </c>
      <c r="H30" s="7">
        <v>0</v>
      </c>
      <c r="I30" s="7">
        <v>10009.43058495789</v>
      </c>
      <c r="J30" s="7">
        <v>10009.43058495789</v>
      </c>
      <c r="K30" s="7">
        <f t="shared" si="0"/>
        <v>597.78025000000002</v>
      </c>
      <c r="L30" s="7">
        <f t="shared" si="1"/>
        <v>264.33842655000001</v>
      </c>
    </row>
    <row r="31" spans="1:12" x14ac:dyDescent="0.35">
      <c r="A31" t="s">
        <v>31</v>
      </c>
      <c r="B31" s="7">
        <v>0.4395</v>
      </c>
      <c r="C31" s="7">
        <v>3571.2635</v>
      </c>
      <c r="D31" s="7">
        <v>0.28849999999999998</v>
      </c>
      <c r="E31" s="7">
        <v>3570.9749999999958</v>
      </c>
      <c r="F31" s="7">
        <v>0</v>
      </c>
      <c r="G31" s="7">
        <v>0</v>
      </c>
      <c r="H31" s="7">
        <v>0</v>
      </c>
      <c r="I31" s="7">
        <v>10009.43058495789</v>
      </c>
      <c r="J31" s="7">
        <v>10009.43058495789</v>
      </c>
      <c r="K31" s="7">
        <f t="shared" si="0"/>
        <v>595.16249999999934</v>
      </c>
      <c r="L31" s="7">
        <f t="shared" si="1"/>
        <v>261.57391874999973</v>
      </c>
    </row>
    <row r="32" spans="1:12" x14ac:dyDescent="0.35">
      <c r="A32" t="s">
        <v>32</v>
      </c>
      <c r="B32" s="7">
        <v>0.43330000000000002</v>
      </c>
      <c r="C32" s="7">
        <v>3562.3171000000002</v>
      </c>
      <c r="D32" s="7">
        <v>18.678100000000001</v>
      </c>
      <c r="E32" s="7">
        <v>3543.6390000000979</v>
      </c>
      <c r="F32" s="7">
        <v>0</v>
      </c>
      <c r="G32" s="7">
        <v>0</v>
      </c>
      <c r="H32" s="7">
        <v>0</v>
      </c>
      <c r="I32" s="7">
        <v>10009.43058495789</v>
      </c>
      <c r="J32" s="7">
        <v>10009.43058495791</v>
      </c>
      <c r="K32" s="7">
        <f t="shared" si="0"/>
        <v>590.60650000001635</v>
      </c>
      <c r="L32" s="7">
        <f t="shared" si="1"/>
        <v>255.90979645000709</v>
      </c>
    </row>
    <row r="33" spans="1:12" x14ac:dyDescent="0.35">
      <c r="A33" t="s">
        <v>33</v>
      </c>
      <c r="B33" s="7">
        <v>0.44390000000000002</v>
      </c>
      <c r="C33" s="7">
        <v>3591.3809000000001</v>
      </c>
      <c r="D33" s="7">
        <v>54.469799999999999</v>
      </c>
      <c r="E33" s="7">
        <v>3536.9110999998902</v>
      </c>
      <c r="F33" s="7">
        <v>0</v>
      </c>
      <c r="G33" s="7">
        <v>0</v>
      </c>
      <c r="H33" s="7">
        <v>0</v>
      </c>
      <c r="I33" s="7">
        <v>10009.43058495791</v>
      </c>
      <c r="J33" s="7">
        <v>10009.43058495789</v>
      </c>
      <c r="K33" s="7">
        <f t="shared" si="0"/>
        <v>589.48518333331504</v>
      </c>
      <c r="L33" s="7">
        <f t="shared" si="1"/>
        <v>261.67247288165856</v>
      </c>
    </row>
    <row r="34" spans="1:12" x14ac:dyDescent="0.35">
      <c r="A34" t="s">
        <v>34</v>
      </c>
      <c r="B34" s="7">
        <v>0.43009999999999998</v>
      </c>
      <c r="C34" s="7">
        <v>3579.7044999999998</v>
      </c>
      <c r="D34" s="7">
        <v>108.9718</v>
      </c>
      <c r="E34" s="7">
        <v>3470.7327000000591</v>
      </c>
      <c r="F34" s="7">
        <v>0</v>
      </c>
      <c r="G34" s="7">
        <v>0</v>
      </c>
      <c r="H34" s="7">
        <v>0</v>
      </c>
      <c r="I34" s="7">
        <v>10009.43058495789</v>
      </c>
      <c r="J34" s="7">
        <v>10009.4305849579</v>
      </c>
      <c r="K34" s="7">
        <f t="shared" ref="K34:K65" si="2">E34/6</f>
        <v>578.45545000000982</v>
      </c>
      <c r="L34" s="7">
        <f t="shared" ref="L34:L65" si="3">B34*K34</f>
        <v>248.79368904500421</v>
      </c>
    </row>
    <row r="35" spans="1:12" x14ac:dyDescent="0.35">
      <c r="A35" t="s">
        <v>35</v>
      </c>
      <c r="B35" s="7">
        <v>0.37130000000000002</v>
      </c>
      <c r="C35" s="7">
        <v>3486.1190000000001</v>
      </c>
      <c r="D35" s="7">
        <v>184.16030000000001</v>
      </c>
      <c r="E35" s="7">
        <v>8301.9587000000065</v>
      </c>
      <c r="F35" s="7">
        <v>4999.9999999999136</v>
      </c>
      <c r="G35" s="7">
        <v>0</v>
      </c>
      <c r="H35" s="7">
        <v>0</v>
      </c>
      <c r="I35" s="7">
        <v>10009.4305849579</v>
      </c>
      <c r="J35" s="7">
        <v>10800</v>
      </c>
      <c r="K35" s="7">
        <f t="shared" si="2"/>
        <v>1383.6597833333344</v>
      </c>
      <c r="L35" s="7">
        <f t="shared" si="3"/>
        <v>513.7528775516671</v>
      </c>
    </row>
    <row r="36" spans="1:12" x14ac:dyDescent="0.35">
      <c r="A36" t="s">
        <v>36</v>
      </c>
      <c r="B36" s="7">
        <v>0.57079999999999997</v>
      </c>
      <c r="C36" s="7">
        <v>3823.8993999999998</v>
      </c>
      <c r="D36" s="7">
        <v>277.0582</v>
      </c>
      <c r="E36" s="7">
        <v>1.3669983018189689E-4</v>
      </c>
      <c r="F36" s="7">
        <v>0</v>
      </c>
      <c r="G36" s="7">
        <v>3546.8410633001522</v>
      </c>
      <c r="H36" s="7">
        <v>0</v>
      </c>
      <c r="I36" s="7">
        <v>10800</v>
      </c>
      <c r="J36" s="7">
        <v>10176.88354118656</v>
      </c>
      <c r="K36" s="7">
        <f t="shared" si="2"/>
        <v>2.2783305030316149E-5</v>
      </c>
      <c r="L36" s="7">
        <f t="shared" si="3"/>
        <v>1.3004710511304457E-5</v>
      </c>
    </row>
    <row r="37" spans="1:12" x14ac:dyDescent="0.35">
      <c r="A37" t="s">
        <v>37</v>
      </c>
      <c r="B37" s="7">
        <v>0.90990000000000004</v>
      </c>
      <c r="C37" s="7">
        <v>4398.0726999999997</v>
      </c>
      <c r="D37" s="7">
        <v>388.54939999999999</v>
      </c>
      <c r="E37" s="7">
        <v>0</v>
      </c>
      <c r="F37" s="7">
        <v>0</v>
      </c>
      <c r="G37" s="7">
        <v>4009.523299999963</v>
      </c>
      <c r="H37" s="7">
        <v>0</v>
      </c>
      <c r="I37" s="7">
        <v>10176.88354118656</v>
      </c>
      <c r="J37" s="7">
        <v>9472.4820989913023</v>
      </c>
      <c r="K37" s="7">
        <f t="shared" si="2"/>
        <v>0</v>
      </c>
      <c r="L37" s="7">
        <f t="shared" si="3"/>
        <v>0</v>
      </c>
    </row>
    <row r="38" spans="1:12" x14ac:dyDescent="0.35">
      <c r="A38" t="s">
        <v>38</v>
      </c>
      <c r="B38" s="7">
        <v>0.93679999999999997</v>
      </c>
      <c r="C38" s="7">
        <v>4454.0123000000003</v>
      </c>
      <c r="D38" s="7">
        <v>521.28030000000001</v>
      </c>
      <c r="E38" s="7">
        <v>0</v>
      </c>
      <c r="F38" s="7">
        <v>0</v>
      </c>
      <c r="G38" s="7">
        <v>3932.7319999999609</v>
      </c>
      <c r="H38" s="7">
        <v>0</v>
      </c>
      <c r="I38" s="7">
        <v>9472.4820989913023</v>
      </c>
      <c r="J38" s="7">
        <v>8781.5715130452299</v>
      </c>
      <c r="K38" s="7">
        <f t="shared" si="2"/>
        <v>0</v>
      </c>
      <c r="L38" s="7">
        <f t="shared" si="3"/>
        <v>0</v>
      </c>
    </row>
    <row r="39" spans="1:12" x14ac:dyDescent="0.35">
      <c r="A39" t="s">
        <v>39</v>
      </c>
      <c r="B39" s="7">
        <v>0.87580000000000002</v>
      </c>
      <c r="C39" s="7">
        <v>4371.7919000000002</v>
      </c>
      <c r="D39" s="7">
        <v>672.76769999999999</v>
      </c>
      <c r="E39" s="7">
        <v>0</v>
      </c>
      <c r="F39" s="7">
        <v>0</v>
      </c>
      <c r="G39" s="7">
        <v>3699.0241999999812</v>
      </c>
      <c r="H39" s="7">
        <v>0</v>
      </c>
      <c r="I39" s="7">
        <v>8781.5715130452299</v>
      </c>
      <c r="J39" s="7">
        <v>8131.7192023739963</v>
      </c>
      <c r="K39" s="7">
        <f t="shared" si="2"/>
        <v>0</v>
      </c>
      <c r="L39" s="7">
        <f t="shared" si="3"/>
        <v>0</v>
      </c>
    </row>
    <row r="40" spans="1:12" x14ac:dyDescent="0.35">
      <c r="A40" t="s">
        <v>40</v>
      </c>
      <c r="B40" s="7">
        <v>0.87590000000000001</v>
      </c>
      <c r="C40" s="7">
        <v>4392.9530000000004</v>
      </c>
      <c r="D40" s="7">
        <v>844.22609999999997</v>
      </c>
      <c r="E40" s="7">
        <v>0</v>
      </c>
      <c r="F40" s="7">
        <v>0</v>
      </c>
      <c r="G40" s="7">
        <v>3548.7269000000301</v>
      </c>
      <c r="H40" s="7">
        <v>0</v>
      </c>
      <c r="I40" s="7">
        <v>8131.7192023739963</v>
      </c>
      <c r="J40" s="7">
        <v>7508.2714358235189</v>
      </c>
      <c r="K40" s="7">
        <f t="shared" si="2"/>
        <v>0</v>
      </c>
      <c r="L40" s="7">
        <f t="shared" si="3"/>
        <v>0</v>
      </c>
    </row>
    <row r="41" spans="1:12" x14ac:dyDescent="0.35">
      <c r="A41" t="s">
        <v>41</v>
      </c>
      <c r="B41" s="7">
        <v>0.86009999999999998</v>
      </c>
      <c r="C41" s="7">
        <v>4384.5955999999996</v>
      </c>
      <c r="D41" s="7">
        <v>1039.6744000000001</v>
      </c>
      <c r="E41" s="7">
        <v>0</v>
      </c>
      <c r="F41" s="7">
        <v>0</v>
      </c>
      <c r="G41" s="7">
        <v>3344.9212000000398</v>
      </c>
      <c r="H41" s="7">
        <v>0</v>
      </c>
      <c r="I41" s="7">
        <v>7508.2714358235189</v>
      </c>
      <c r="J41" s="7">
        <v>6920.6286810577631</v>
      </c>
      <c r="K41" s="7">
        <f t="shared" si="2"/>
        <v>0</v>
      </c>
      <c r="L41" s="7">
        <f t="shared" si="3"/>
        <v>0</v>
      </c>
    </row>
    <row r="42" spans="1:12" x14ac:dyDescent="0.35">
      <c r="A42" t="s">
        <v>42</v>
      </c>
      <c r="B42" s="7">
        <v>0.84419999999999995</v>
      </c>
      <c r="C42" s="7">
        <v>4434.7757000000001</v>
      </c>
      <c r="D42" s="7">
        <v>1259.3375000000001</v>
      </c>
      <c r="E42" s="7">
        <v>0</v>
      </c>
      <c r="F42" s="7">
        <v>0</v>
      </c>
      <c r="G42" s="7">
        <v>3175.438200000046</v>
      </c>
      <c r="H42" s="7">
        <v>0</v>
      </c>
      <c r="I42" s="7">
        <v>6920.6286810577631</v>
      </c>
      <c r="J42" s="7">
        <v>6362.7610543296914</v>
      </c>
      <c r="K42" s="7">
        <f t="shared" si="2"/>
        <v>0</v>
      </c>
      <c r="L42" s="7">
        <f t="shared" si="3"/>
        <v>0</v>
      </c>
    </row>
    <row r="43" spans="1:12" x14ac:dyDescent="0.35">
      <c r="A43" t="s">
        <v>43</v>
      </c>
      <c r="B43" s="7">
        <v>0.83340000000000003</v>
      </c>
      <c r="C43" s="7">
        <v>4523.4561000000003</v>
      </c>
      <c r="D43" s="7">
        <v>1508.6318000000001</v>
      </c>
      <c r="E43" s="7">
        <v>0</v>
      </c>
      <c r="F43" s="7">
        <v>0</v>
      </c>
      <c r="G43" s="7">
        <v>3014.8242999999711</v>
      </c>
      <c r="H43" s="7">
        <v>0</v>
      </c>
      <c r="I43" s="7">
        <v>6362.7610543296914</v>
      </c>
      <c r="J43" s="7">
        <v>5833.1104135950918</v>
      </c>
      <c r="K43" s="7">
        <f t="shared" si="2"/>
        <v>0</v>
      </c>
      <c r="L43" s="7">
        <f t="shared" si="3"/>
        <v>0</v>
      </c>
    </row>
    <row r="44" spans="1:12" x14ac:dyDescent="0.35">
      <c r="A44" t="s">
        <v>44</v>
      </c>
      <c r="B44" s="7">
        <v>0.80920000000000003</v>
      </c>
      <c r="C44" s="7">
        <v>4524.0721000000003</v>
      </c>
      <c r="D44" s="7">
        <v>1791.4106999999999</v>
      </c>
      <c r="E44" s="7">
        <v>0</v>
      </c>
      <c r="F44" s="7">
        <v>0</v>
      </c>
      <c r="G44" s="7">
        <v>2732.6614000000068</v>
      </c>
      <c r="H44" s="7">
        <v>0</v>
      </c>
      <c r="I44" s="7">
        <v>5833.1104135950918</v>
      </c>
      <c r="J44" s="7">
        <v>5353.030741482622</v>
      </c>
      <c r="K44" s="7">
        <f t="shared" si="2"/>
        <v>0</v>
      </c>
      <c r="L44" s="7">
        <f t="shared" si="3"/>
        <v>0</v>
      </c>
    </row>
    <row r="45" spans="1:12" x14ac:dyDescent="0.35">
      <c r="A45" t="s">
        <v>45</v>
      </c>
      <c r="B45" s="7">
        <v>0.79720000000000002</v>
      </c>
      <c r="C45" s="7">
        <v>4545.8867</v>
      </c>
      <c r="D45" s="7">
        <v>2085.4865</v>
      </c>
      <c r="E45" s="7">
        <v>0</v>
      </c>
      <c r="F45" s="7">
        <v>0</v>
      </c>
      <c r="G45" s="7">
        <v>2460.4002</v>
      </c>
      <c r="H45" s="7">
        <v>0</v>
      </c>
      <c r="I45" s="7">
        <v>5353.030741482622</v>
      </c>
      <c r="J45" s="7">
        <v>4920.7824866196324</v>
      </c>
      <c r="K45" s="7">
        <f t="shared" si="2"/>
        <v>0</v>
      </c>
      <c r="L45" s="7">
        <f t="shared" si="3"/>
        <v>0</v>
      </c>
    </row>
    <row r="46" spans="1:12" x14ac:dyDescent="0.35">
      <c r="A46" t="s">
        <v>46</v>
      </c>
      <c r="B46" s="7">
        <v>0.76439999999999997</v>
      </c>
      <c r="C46" s="7">
        <v>4523.2417999999998</v>
      </c>
      <c r="D46" s="7">
        <v>2381.2611000000002</v>
      </c>
      <c r="E46" s="7">
        <v>0</v>
      </c>
      <c r="F46" s="7">
        <v>0</v>
      </c>
      <c r="G46" s="7">
        <v>2141.9807000000128</v>
      </c>
      <c r="H46" s="7">
        <v>0</v>
      </c>
      <c r="I46" s="7">
        <v>4920.7824866196324</v>
      </c>
      <c r="J46" s="7">
        <v>4544.474835723975</v>
      </c>
      <c r="K46" s="7">
        <f t="shared" si="2"/>
        <v>0</v>
      </c>
      <c r="L46" s="7">
        <f t="shared" si="3"/>
        <v>0</v>
      </c>
    </row>
    <row r="47" spans="1:12" x14ac:dyDescent="0.35">
      <c r="A47" t="s">
        <v>47</v>
      </c>
      <c r="B47" s="7">
        <v>0.68989999999999996</v>
      </c>
      <c r="C47" s="7">
        <v>4383.3566000000001</v>
      </c>
      <c r="D47" s="7">
        <v>2683.1752000000001</v>
      </c>
      <c r="E47" s="7">
        <v>0</v>
      </c>
      <c r="F47" s="7">
        <v>0</v>
      </c>
      <c r="G47" s="7">
        <v>1700.181400000014</v>
      </c>
      <c r="H47" s="7">
        <v>0</v>
      </c>
      <c r="I47" s="7">
        <v>4544.474835723975</v>
      </c>
      <c r="J47" s="7">
        <v>4245.7834101987637</v>
      </c>
      <c r="K47" s="7">
        <f t="shared" si="2"/>
        <v>0</v>
      </c>
      <c r="L47" s="7">
        <f t="shared" si="3"/>
        <v>0</v>
      </c>
    </row>
    <row r="48" spans="1:12" x14ac:dyDescent="0.35">
      <c r="A48" t="s">
        <v>48</v>
      </c>
      <c r="B48" s="7">
        <v>0.86</v>
      </c>
      <c r="C48" s="7">
        <v>4910.4598999999998</v>
      </c>
      <c r="D48" s="7">
        <v>2986.3552</v>
      </c>
      <c r="E48" s="7">
        <v>0</v>
      </c>
      <c r="F48" s="7">
        <v>0</v>
      </c>
      <c r="G48" s="7">
        <v>1924.1046999999869</v>
      </c>
      <c r="H48" s="7">
        <v>0</v>
      </c>
      <c r="I48" s="7">
        <v>4245.7834101987637</v>
      </c>
      <c r="J48" s="7">
        <v>3907.7526708301539</v>
      </c>
      <c r="K48" s="7">
        <f t="shared" si="2"/>
        <v>0</v>
      </c>
      <c r="L48" s="7">
        <f t="shared" si="3"/>
        <v>0</v>
      </c>
    </row>
    <row r="49" spans="1:12" x14ac:dyDescent="0.35">
      <c r="A49" t="s">
        <v>49</v>
      </c>
      <c r="B49" s="7">
        <v>1.1617</v>
      </c>
      <c r="C49" s="7">
        <v>5799.7326999999996</v>
      </c>
      <c r="D49" s="7">
        <v>3289.2040000000002</v>
      </c>
      <c r="E49" s="7">
        <v>0</v>
      </c>
      <c r="F49" s="7">
        <v>0</v>
      </c>
      <c r="G49" s="7">
        <v>2510.5287000000221</v>
      </c>
      <c r="H49" s="7">
        <v>0</v>
      </c>
      <c r="I49" s="7">
        <v>3907.7526708301539</v>
      </c>
      <c r="J49" s="7">
        <v>3466.6977362067341</v>
      </c>
      <c r="K49" s="7">
        <f t="shared" si="2"/>
        <v>0</v>
      </c>
      <c r="L49" s="7">
        <f t="shared" si="3"/>
        <v>0</v>
      </c>
    </row>
    <row r="50" spans="1:12" x14ac:dyDescent="0.35">
      <c r="A50" t="s">
        <v>50</v>
      </c>
      <c r="B50" s="7">
        <v>1.1682999999999999</v>
      </c>
      <c r="C50" s="7">
        <v>5884.826</v>
      </c>
      <c r="D50" s="7">
        <v>3593.3613</v>
      </c>
      <c r="E50" s="7">
        <v>0</v>
      </c>
      <c r="F50" s="7">
        <v>0</v>
      </c>
      <c r="G50" s="7">
        <v>2291.4647000000032</v>
      </c>
      <c r="H50" s="7">
        <v>0</v>
      </c>
      <c r="I50" s="7">
        <v>3466.6977362067341</v>
      </c>
      <c r="J50" s="7">
        <v>3064.1284234359318</v>
      </c>
      <c r="K50" s="7">
        <f t="shared" si="2"/>
        <v>0</v>
      </c>
      <c r="L50" s="7">
        <f t="shared" si="3"/>
        <v>0</v>
      </c>
    </row>
    <row r="51" spans="1:12" x14ac:dyDescent="0.35">
      <c r="A51" t="s">
        <v>51</v>
      </c>
      <c r="B51" s="7">
        <v>1.0955999999999999</v>
      </c>
      <c r="C51" s="7">
        <v>5748.0712999999996</v>
      </c>
      <c r="D51" s="7">
        <v>3890.7332000000001</v>
      </c>
      <c r="E51" s="7">
        <v>0</v>
      </c>
      <c r="F51" s="7">
        <v>0</v>
      </c>
      <c r="G51" s="7">
        <v>1857.3381000000161</v>
      </c>
      <c r="H51" s="7">
        <v>0</v>
      </c>
      <c r="I51" s="7">
        <v>3064.1284234359318</v>
      </c>
      <c r="J51" s="7">
        <v>2737.8273800465099</v>
      </c>
      <c r="K51" s="7">
        <f t="shared" si="2"/>
        <v>0</v>
      </c>
      <c r="L51" s="7">
        <f t="shared" si="3"/>
        <v>0</v>
      </c>
    </row>
    <row r="52" spans="1:12" x14ac:dyDescent="0.35">
      <c r="A52" t="s">
        <v>52</v>
      </c>
      <c r="B52" s="7">
        <v>1.0849</v>
      </c>
      <c r="C52" s="7">
        <v>5769.0581000000002</v>
      </c>
      <c r="D52" s="7">
        <v>4181.3416999999999</v>
      </c>
      <c r="E52" s="7">
        <v>0</v>
      </c>
      <c r="F52" s="7">
        <v>0</v>
      </c>
      <c r="G52" s="7">
        <v>1587.7164000000089</v>
      </c>
      <c r="H52" s="7">
        <v>0</v>
      </c>
      <c r="I52" s="7">
        <v>2737.8273800465099</v>
      </c>
      <c r="J52" s="7">
        <v>2458.894041024123</v>
      </c>
      <c r="K52" s="7">
        <f t="shared" si="2"/>
        <v>0</v>
      </c>
      <c r="L52" s="7">
        <f t="shared" si="3"/>
        <v>0</v>
      </c>
    </row>
    <row r="53" spans="1:12" x14ac:dyDescent="0.35">
      <c r="A53" t="s">
        <v>53</v>
      </c>
      <c r="B53" s="7">
        <v>1.0609999999999999</v>
      </c>
      <c r="C53" s="7">
        <v>5754.2105000000001</v>
      </c>
      <c r="D53" s="7">
        <v>4471.7656999999999</v>
      </c>
      <c r="E53" s="7">
        <v>0</v>
      </c>
      <c r="F53" s="7">
        <v>0</v>
      </c>
      <c r="G53" s="7">
        <v>1282.4447999999909</v>
      </c>
      <c r="H53" s="7">
        <v>0</v>
      </c>
      <c r="I53" s="7">
        <v>2458.894041024123</v>
      </c>
      <c r="J53" s="7">
        <v>2233.5914553886182</v>
      </c>
      <c r="K53" s="7">
        <f t="shared" si="2"/>
        <v>0</v>
      </c>
      <c r="L53" s="7">
        <f t="shared" si="3"/>
        <v>0</v>
      </c>
    </row>
    <row r="54" spans="1:12" x14ac:dyDescent="0.35">
      <c r="A54" t="s">
        <v>54</v>
      </c>
      <c r="B54" s="7">
        <v>1.0429999999999999</v>
      </c>
      <c r="C54" s="7">
        <v>5824.1806999999999</v>
      </c>
      <c r="D54" s="7">
        <v>4752.8271999999997</v>
      </c>
      <c r="E54" s="7">
        <v>0</v>
      </c>
      <c r="F54" s="7">
        <v>0</v>
      </c>
      <c r="G54" s="7">
        <v>1071.3535000000049</v>
      </c>
      <c r="H54" s="7">
        <v>0</v>
      </c>
      <c r="I54" s="7">
        <v>2233.5914553886182</v>
      </c>
      <c r="J54" s="7">
        <v>2045.373830988995</v>
      </c>
      <c r="K54" s="7">
        <f t="shared" si="2"/>
        <v>0</v>
      </c>
      <c r="L54" s="7">
        <f t="shared" si="3"/>
        <v>0</v>
      </c>
    </row>
    <row r="55" spans="1:12" x14ac:dyDescent="0.35">
      <c r="A55" t="s">
        <v>55</v>
      </c>
      <c r="B55" s="7">
        <v>1.036</v>
      </c>
      <c r="C55" s="7">
        <v>5954.2601000000004</v>
      </c>
      <c r="D55" s="7">
        <v>5021.9074000000001</v>
      </c>
      <c r="E55" s="7">
        <v>0</v>
      </c>
      <c r="F55" s="7">
        <v>0</v>
      </c>
      <c r="G55" s="7">
        <v>932.35270000000992</v>
      </c>
      <c r="H55" s="7">
        <v>0</v>
      </c>
      <c r="I55" s="7">
        <v>2045.373830988995</v>
      </c>
      <c r="J55" s="7">
        <v>1881.576157955235</v>
      </c>
      <c r="K55" s="7">
        <f t="shared" si="2"/>
        <v>0</v>
      </c>
      <c r="L55" s="7">
        <f t="shared" si="3"/>
        <v>0</v>
      </c>
    </row>
    <row r="56" spans="1:12" x14ac:dyDescent="0.35">
      <c r="A56" t="s">
        <v>56</v>
      </c>
      <c r="B56" s="7">
        <v>1.0146999999999999</v>
      </c>
      <c r="C56" s="7">
        <v>5958.9696000000004</v>
      </c>
      <c r="D56" s="7">
        <v>5285.4125999999997</v>
      </c>
      <c r="E56" s="7">
        <v>0</v>
      </c>
      <c r="F56" s="7">
        <v>0</v>
      </c>
      <c r="G56" s="7">
        <v>673.55700000000377</v>
      </c>
      <c r="H56" s="7">
        <v>0</v>
      </c>
      <c r="I56" s="7">
        <v>1881.576157955235</v>
      </c>
      <c r="J56" s="7">
        <v>1763.244254958011</v>
      </c>
      <c r="K56" s="7">
        <f t="shared" si="2"/>
        <v>0</v>
      </c>
      <c r="L56" s="7">
        <f t="shared" si="3"/>
        <v>0</v>
      </c>
    </row>
    <row r="57" spans="1:12" x14ac:dyDescent="0.35">
      <c r="A57" t="s">
        <v>57</v>
      </c>
      <c r="B57" s="7">
        <v>0.99219999999999997</v>
      </c>
      <c r="C57" s="7">
        <v>5929.5554000000002</v>
      </c>
      <c r="D57" s="7">
        <v>5543.1742000000004</v>
      </c>
      <c r="E57" s="7">
        <v>0</v>
      </c>
      <c r="F57" s="7">
        <v>0</v>
      </c>
      <c r="G57" s="7">
        <v>386.38119999999498</v>
      </c>
      <c r="H57" s="7">
        <v>0</v>
      </c>
      <c r="I57" s="7">
        <v>1763.244254958011</v>
      </c>
      <c r="J57" s="7">
        <v>1695.3639973430641</v>
      </c>
      <c r="K57" s="7">
        <f t="shared" si="2"/>
        <v>0</v>
      </c>
      <c r="L57" s="7">
        <f t="shared" si="3"/>
        <v>0</v>
      </c>
    </row>
    <row r="58" spans="1:12" x14ac:dyDescent="0.35">
      <c r="A58" t="s">
        <v>58</v>
      </c>
      <c r="B58" s="7">
        <v>0.97</v>
      </c>
      <c r="C58" s="7">
        <v>5923.7828</v>
      </c>
      <c r="D58" s="7">
        <v>5788.4093000000003</v>
      </c>
      <c r="E58" s="7">
        <v>0</v>
      </c>
      <c r="F58" s="7">
        <v>0</v>
      </c>
      <c r="G58" s="7">
        <v>135.37349999999969</v>
      </c>
      <c r="H58" s="7">
        <v>0</v>
      </c>
      <c r="I58" s="7">
        <v>1695.3639973430641</v>
      </c>
      <c r="J58" s="7">
        <v>1671.581297630353</v>
      </c>
      <c r="K58" s="7">
        <f t="shared" si="2"/>
        <v>0</v>
      </c>
      <c r="L58" s="7">
        <f t="shared" si="3"/>
        <v>0</v>
      </c>
    </row>
    <row r="59" spans="1:12" x14ac:dyDescent="0.35">
      <c r="A59" t="s">
        <v>59</v>
      </c>
      <c r="B59" s="7">
        <v>0.94220000000000004</v>
      </c>
      <c r="C59" s="7">
        <v>5907.5860000000002</v>
      </c>
      <c r="D59" s="7">
        <v>6012.1304</v>
      </c>
      <c r="E59" s="7">
        <v>0</v>
      </c>
      <c r="F59" s="7">
        <v>104.5444000000127</v>
      </c>
      <c r="G59" s="7">
        <v>0</v>
      </c>
      <c r="H59" s="7">
        <v>0</v>
      </c>
      <c r="I59" s="7">
        <v>1671.581297630353</v>
      </c>
      <c r="J59" s="7">
        <v>1688.1112186611381</v>
      </c>
      <c r="K59" s="7">
        <f t="shared" si="2"/>
        <v>0</v>
      </c>
      <c r="L59" s="7">
        <f t="shared" si="3"/>
        <v>0</v>
      </c>
    </row>
    <row r="60" spans="1:12" x14ac:dyDescent="0.35">
      <c r="A60" t="s">
        <v>60</v>
      </c>
      <c r="B60" s="7">
        <v>0.95689999999999997</v>
      </c>
      <c r="C60" s="7">
        <v>5899.1261999999997</v>
      </c>
      <c r="D60" s="7">
        <v>6216.1527999999998</v>
      </c>
      <c r="E60" s="7">
        <v>0</v>
      </c>
      <c r="F60" s="7">
        <v>317.02660000000401</v>
      </c>
      <c r="G60" s="7">
        <v>0</v>
      </c>
      <c r="H60" s="7">
        <v>0</v>
      </c>
      <c r="I60" s="7">
        <v>1688.1112186611381</v>
      </c>
      <c r="J60" s="7">
        <v>1738.2375254040951</v>
      </c>
      <c r="K60" s="7">
        <f t="shared" si="2"/>
        <v>0</v>
      </c>
      <c r="L60" s="7">
        <f t="shared" si="3"/>
        <v>0</v>
      </c>
    </row>
    <row r="61" spans="1:12" x14ac:dyDescent="0.35">
      <c r="A61" t="s">
        <v>61</v>
      </c>
      <c r="B61" s="7">
        <v>0.99770000000000003</v>
      </c>
      <c r="C61" s="7">
        <v>5902.2196000000004</v>
      </c>
      <c r="D61" s="7">
        <v>6409.5941000000003</v>
      </c>
      <c r="E61" s="7">
        <v>0</v>
      </c>
      <c r="F61" s="7">
        <v>507.37450000002309</v>
      </c>
      <c r="G61" s="7">
        <v>0</v>
      </c>
      <c r="H61" s="7">
        <v>0</v>
      </c>
      <c r="I61" s="7">
        <v>1738.2375254040951</v>
      </c>
      <c r="J61" s="7">
        <v>1818.46047773855</v>
      </c>
      <c r="K61" s="7">
        <f t="shared" si="2"/>
        <v>0</v>
      </c>
      <c r="L61" s="7">
        <f t="shared" si="3"/>
        <v>0</v>
      </c>
    </row>
    <row r="62" spans="1:12" x14ac:dyDescent="0.35">
      <c r="A62" t="s">
        <v>62</v>
      </c>
      <c r="B62" s="7">
        <v>0.9919</v>
      </c>
      <c r="C62" s="7">
        <v>5897.4793</v>
      </c>
      <c r="D62" s="7">
        <v>6599.3807999999999</v>
      </c>
      <c r="E62" s="7">
        <v>0</v>
      </c>
      <c r="F62" s="7">
        <v>701.90149999999505</v>
      </c>
      <c r="G62" s="7">
        <v>0</v>
      </c>
      <c r="H62" s="7">
        <v>0</v>
      </c>
      <c r="I62" s="7">
        <v>1818.46047773855</v>
      </c>
      <c r="J62" s="7">
        <v>1929.440849392983</v>
      </c>
      <c r="K62" s="7">
        <f t="shared" si="2"/>
        <v>0</v>
      </c>
      <c r="L62" s="7">
        <f t="shared" si="3"/>
        <v>0</v>
      </c>
    </row>
    <row r="63" spans="1:12" x14ac:dyDescent="0.35">
      <c r="A63" t="s">
        <v>63</v>
      </c>
      <c r="B63" s="7">
        <v>0.95879999999999999</v>
      </c>
      <c r="C63" s="7">
        <v>5886.7568000000001</v>
      </c>
      <c r="D63" s="7">
        <v>6766.7204000000002</v>
      </c>
      <c r="E63" s="7">
        <v>0</v>
      </c>
      <c r="F63" s="7">
        <v>879.96360000000834</v>
      </c>
      <c r="G63" s="7">
        <v>0</v>
      </c>
      <c r="H63" s="7">
        <v>0</v>
      </c>
      <c r="I63" s="7">
        <v>1929.440849392983</v>
      </c>
      <c r="J63" s="7">
        <v>2068.57531109505</v>
      </c>
      <c r="K63" s="7">
        <f t="shared" si="2"/>
        <v>0</v>
      </c>
      <c r="L63" s="7">
        <f t="shared" si="3"/>
        <v>0</v>
      </c>
    </row>
    <row r="64" spans="1:12" x14ac:dyDescent="0.35">
      <c r="A64" t="s">
        <v>64</v>
      </c>
      <c r="B64" s="7">
        <v>0.95489999999999997</v>
      </c>
      <c r="C64" s="7">
        <v>5873.4708000000001</v>
      </c>
      <c r="D64" s="7">
        <v>6914.5923000000003</v>
      </c>
      <c r="E64" s="7">
        <v>0</v>
      </c>
      <c r="F64" s="7">
        <v>1041.1214999999979</v>
      </c>
      <c r="G64" s="7">
        <v>0</v>
      </c>
      <c r="H64" s="7">
        <v>0</v>
      </c>
      <c r="I64" s="7">
        <v>2068.57531109505</v>
      </c>
      <c r="J64" s="7">
        <v>2233.1910741436</v>
      </c>
      <c r="K64" s="7">
        <f t="shared" si="2"/>
        <v>0</v>
      </c>
      <c r="L64" s="7">
        <f t="shared" si="3"/>
        <v>0</v>
      </c>
    </row>
    <row r="65" spans="1:12" x14ac:dyDescent="0.35">
      <c r="A65" t="s">
        <v>65</v>
      </c>
      <c r="B65" s="7">
        <v>0.9839</v>
      </c>
      <c r="C65" s="7">
        <v>5858.0308000000005</v>
      </c>
      <c r="D65" s="7">
        <v>7064.2052999999996</v>
      </c>
      <c r="E65" s="7">
        <v>0</v>
      </c>
      <c r="F65" s="7">
        <v>1206.1744999999889</v>
      </c>
      <c r="G65" s="7">
        <v>0</v>
      </c>
      <c r="H65" s="7">
        <v>0</v>
      </c>
      <c r="I65" s="7">
        <v>2233.1910741436</v>
      </c>
      <c r="J65" s="7">
        <v>2423.9040079243382</v>
      </c>
      <c r="K65" s="7">
        <f t="shared" si="2"/>
        <v>0</v>
      </c>
      <c r="L65" s="7">
        <f t="shared" si="3"/>
        <v>0</v>
      </c>
    </row>
    <row r="66" spans="1:12" x14ac:dyDescent="0.35">
      <c r="A66" t="s">
        <v>66</v>
      </c>
      <c r="B66" s="7">
        <v>0.79900000000000004</v>
      </c>
      <c r="C66" s="7">
        <v>5844.9948000000004</v>
      </c>
      <c r="D66" s="7">
        <v>7197.4314999999997</v>
      </c>
      <c r="E66" s="7">
        <v>0</v>
      </c>
      <c r="F66" s="7">
        <v>1352.436699999997</v>
      </c>
      <c r="G66" s="7">
        <v>0</v>
      </c>
      <c r="H66" s="7">
        <v>0</v>
      </c>
      <c r="I66" s="7">
        <v>2423.9040079243382</v>
      </c>
      <c r="J66" s="7">
        <v>2637.7430260844299</v>
      </c>
      <c r="K66" s="7">
        <f t="shared" ref="K66:K97" si="4">E66/6</f>
        <v>0</v>
      </c>
      <c r="L66" s="7">
        <f t="shared" ref="L66:L97" si="5">B66*K66</f>
        <v>0</v>
      </c>
    </row>
    <row r="67" spans="1:12" x14ac:dyDescent="0.35">
      <c r="A67" t="s">
        <v>67</v>
      </c>
      <c r="B67" s="7">
        <v>0.50249999999999995</v>
      </c>
      <c r="C67" s="7">
        <v>5839.0586999999996</v>
      </c>
      <c r="D67" s="7">
        <v>7303.1142</v>
      </c>
      <c r="E67" s="7">
        <v>0</v>
      </c>
      <c r="F67" s="7">
        <v>1464.0554999999749</v>
      </c>
      <c r="G67" s="7">
        <v>0</v>
      </c>
      <c r="H67" s="7">
        <v>0</v>
      </c>
      <c r="I67" s="7">
        <v>2637.7430260844299</v>
      </c>
      <c r="J67" s="7">
        <v>2869.2305261292631</v>
      </c>
      <c r="K67" s="7">
        <f t="shared" si="4"/>
        <v>0</v>
      </c>
      <c r="L67" s="7">
        <f t="shared" si="5"/>
        <v>0</v>
      </c>
    </row>
    <row r="68" spans="1:12" x14ac:dyDescent="0.35">
      <c r="A68" t="s">
        <v>68</v>
      </c>
      <c r="B68" s="7">
        <v>0.4662</v>
      </c>
      <c r="C68" s="7">
        <v>5838.7102999999997</v>
      </c>
      <c r="D68" s="7">
        <v>7387.6848</v>
      </c>
      <c r="E68" s="7">
        <v>2490.705870333632</v>
      </c>
      <c r="F68" s="7">
        <v>4039.680370333569</v>
      </c>
      <c r="G68" s="7">
        <v>0</v>
      </c>
      <c r="H68" s="7">
        <v>0</v>
      </c>
      <c r="I68" s="7">
        <v>2869.2305261292631</v>
      </c>
      <c r="J68" s="7">
        <v>3507.960075595603</v>
      </c>
      <c r="K68" s="7">
        <f t="shared" si="4"/>
        <v>415.11764505560535</v>
      </c>
      <c r="L68" s="7">
        <f t="shared" si="5"/>
        <v>193.52784612492323</v>
      </c>
    </row>
    <row r="69" spans="1:12" x14ac:dyDescent="0.35">
      <c r="A69" t="s">
        <v>69</v>
      </c>
      <c r="B69" s="7">
        <v>0.50070000000000003</v>
      </c>
      <c r="C69" s="7">
        <v>5823.4377999999997</v>
      </c>
      <c r="D69" s="7">
        <v>7459.2269999999999</v>
      </c>
      <c r="E69" s="7">
        <v>0</v>
      </c>
      <c r="F69" s="7">
        <v>1635.7892000000279</v>
      </c>
      <c r="G69" s="7">
        <v>0</v>
      </c>
      <c r="H69" s="7">
        <v>0</v>
      </c>
      <c r="I69" s="7">
        <v>3507.960075595603</v>
      </c>
      <c r="J69" s="7">
        <v>3766.6010577908369</v>
      </c>
      <c r="K69" s="7">
        <f t="shared" si="4"/>
        <v>0</v>
      </c>
      <c r="L69" s="7">
        <f t="shared" si="5"/>
        <v>0</v>
      </c>
    </row>
    <row r="70" spans="1:12" x14ac:dyDescent="0.35">
      <c r="A70" t="s">
        <v>70</v>
      </c>
      <c r="B70" s="7">
        <v>0.48270000000000002</v>
      </c>
      <c r="C70" s="7">
        <v>5814.7932000000001</v>
      </c>
      <c r="D70" s="7">
        <v>7520.7191000000003</v>
      </c>
      <c r="E70" s="7">
        <v>0</v>
      </c>
      <c r="F70" s="7">
        <v>1705.9259000000191</v>
      </c>
      <c r="G70" s="7">
        <v>0</v>
      </c>
      <c r="H70" s="7">
        <v>0</v>
      </c>
      <c r="I70" s="7">
        <v>3766.6010577908369</v>
      </c>
      <c r="J70" s="7">
        <v>4036.3316259644689</v>
      </c>
      <c r="K70" s="7">
        <f t="shared" si="4"/>
        <v>0</v>
      </c>
      <c r="L70" s="7">
        <f t="shared" si="5"/>
        <v>0</v>
      </c>
    </row>
    <row r="71" spans="1:12" x14ac:dyDescent="0.35">
      <c r="A71" t="s">
        <v>71</v>
      </c>
      <c r="B71" s="7">
        <v>0.47849999999999998</v>
      </c>
      <c r="C71" s="7">
        <v>5832.3950999999997</v>
      </c>
      <c r="D71" s="7">
        <v>7568.2039000000004</v>
      </c>
      <c r="E71" s="7">
        <v>0</v>
      </c>
      <c r="F71" s="7">
        <v>1735.808799999958</v>
      </c>
      <c r="G71" s="7">
        <v>0</v>
      </c>
      <c r="H71" s="7">
        <v>0</v>
      </c>
      <c r="I71" s="7">
        <v>4036.3316259644689</v>
      </c>
      <c r="J71" s="7">
        <v>4310.7870954926539</v>
      </c>
      <c r="K71" s="7">
        <f t="shared" si="4"/>
        <v>0</v>
      </c>
      <c r="L71" s="7">
        <f t="shared" si="5"/>
        <v>0</v>
      </c>
    </row>
    <row r="72" spans="1:12" x14ac:dyDescent="0.35">
      <c r="A72" t="s">
        <v>72</v>
      </c>
      <c r="B72" s="7">
        <v>0.4662</v>
      </c>
      <c r="C72" s="7">
        <v>5712.9009999999998</v>
      </c>
      <c r="D72" s="7">
        <v>7592.1539000000002</v>
      </c>
      <c r="E72" s="7">
        <v>3120.7470999999791</v>
      </c>
      <c r="F72" s="7">
        <v>4999.9999999999818</v>
      </c>
      <c r="G72" s="7">
        <v>0</v>
      </c>
      <c r="H72" s="7">
        <v>0</v>
      </c>
      <c r="I72" s="7">
        <v>4310.7870954926539</v>
      </c>
      <c r="J72" s="7">
        <v>5101.3565105347452</v>
      </c>
      <c r="K72" s="7">
        <f t="shared" si="4"/>
        <v>520.12451666666323</v>
      </c>
      <c r="L72" s="7">
        <f t="shared" si="5"/>
        <v>242.48204966999839</v>
      </c>
    </row>
    <row r="73" spans="1:12" x14ac:dyDescent="0.35">
      <c r="A73" t="s">
        <v>73</v>
      </c>
      <c r="B73" s="7">
        <v>0.44319999999999998</v>
      </c>
      <c r="C73" s="7">
        <v>5519.4606999999996</v>
      </c>
      <c r="D73" s="7">
        <v>7601.0433000000003</v>
      </c>
      <c r="E73" s="7">
        <v>2918.4173999999598</v>
      </c>
      <c r="F73" s="7">
        <v>4999.9999999999318</v>
      </c>
      <c r="G73" s="7">
        <v>0</v>
      </c>
      <c r="H73" s="7">
        <v>0</v>
      </c>
      <c r="I73" s="7">
        <v>5101.3565105347452</v>
      </c>
      <c r="J73" s="7">
        <v>5891.9259255768338</v>
      </c>
      <c r="K73" s="7">
        <f t="shared" si="4"/>
        <v>486.40289999999328</v>
      </c>
      <c r="L73" s="7">
        <f t="shared" si="5"/>
        <v>215.57376527999702</v>
      </c>
    </row>
    <row r="74" spans="1:12" x14ac:dyDescent="0.35">
      <c r="A74" t="s">
        <v>74</v>
      </c>
      <c r="B74" s="7">
        <v>0.44109999999999999</v>
      </c>
      <c r="C74" s="7">
        <v>5494.7906999999996</v>
      </c>
      <c r="D74" s="7">
        <v>7612.3159999999998</v>
      </c>
      <c r="E74" s="7">
        <v>2882.4746999999988</v>
      </c>
      <c r="F74" s="7">
        <v>5000.0000000000337</v>
      </c>
      <c r="G74" s="7">
        <v>0</v>
      </c>
      <c r="H74" s="7">
        <v>0</v>
      </c>
      <c r="I74" s="7">
        <v>5891.9259255768338</v>
      </c>
      <c r="J74" s="7">
        <v>6682.4953406189279</v>
      </c>
      <c r="K74" s="7">
        <f t="shared" si="4"/>
        <v>480.41244999999981</v>
      </c>
      <c r="L74" s="7">
        <f t="shared" si="5"/>
        <v>211.9099316949999</v>
      </c>
    </row>
    <row r="75" spans="1:12" x14ac:dyDescent="0.35">
      <c r="A75" t="s">
        <v>75</v>
      </c>
      <c r="B75" s="7">
        <v>0.4551</v>
      </c>
      <c r="C75" s="7">
        <v>5514.4524000000001</v>
      </c>
      <c r="D75" s="7">
        <v>7602.6523999999999</v>
      </c>
      <c r="E75" s="7">
        <v>2911.7999999999952</v>
      </c>
      <c r="F75" s="7">
        <v>5000.0000000000127</v>
      </c>
      <c r="G75" s="7">
        <v>0</v>
      </c>
      <c r="H75" s="7">
        <v>0</v>
      </c>
      <c r="I75" s="7">
        <v>6682.4953406189279</v>
      </c>
      <c r="J75" s="7">
        <v>7473.0647556610211</v>
      </c>
      <c r="K75" s="7">
        <f t="shared" si="4"/>
        <v>485.29999999999922</v>
      </c>
      <c r="L75" s="7">
        <f t="shared" si="5"/>
        <v>220.86002999999965</v>
      </c>
    </row>
    <row r="76" spans="1:12" x14ac:dyDescent="0.35">
      <c r="A76" t="s">
        <v>76</v>
      </c>
      <c r="B76" s="7">
        <v>0.44629999999999997</v>
      </c>
      <c r="C76" s="7">
        <v>5485.8289999999997</v>
      </c>
      <c r="D76" s="7">
        <v>7554.1872000000003</v>
      </c>
      <c r="E76" s="7">
        <v>2931.6418000000049</v>
      </c>
      <c r="F76" s="7">
        <v>4999.9999999999818</v>
      </c>
      <c r="G76" s="7">
        <v>0</v>
      </c>
      <c r="H76" s="7">
        <v>0</v>
      </c>
      <c r="I76" s="7">
        <v>7473.0647556610211</v>
      </c>
      <c r="J76" s="7">
        <v>8263.634170703117</v>
      </c>
      <c r="K76" s="7">
        <f t="shared" si="4"/>
        <v>488.60696666666746</v>
      </c>
      <c r="L76" s="7">
        <f t="shared" si="5"/>
        <v>218.06528922333368</v>
      </c>
    </row>
    <row r="77" spans="1:12" x14ac:dyDescent="0.35">
      <c r="A77" t="s">
        <v>77</v>
      </c>
      <c r="B77" s="7">
        <v>0.4113</v>
      </c>
      <c r="C77" s="7">
        <v>5462.3627999999999</v>
      </c>
      <c r="D77" s="7">
        <v>7472.7384000000002</v>
      </c>
      <c r="E77" s="7">
        <v>2989.6243999999051</v>
      </c>
      <c r="F77" s="7">
        <v>4999.9999999997644</v>
      </c>
      <c r="G77" s="7">
        <v>0</v>
      </c>
      <c r="H77" s="7">
        <v>0</v>
      </c>
      <c r="I77" s="7">
        <v>8263.634170703117</v>
      </c>
      <c r="J77" s="7">
        <v>9054.2035857451992</v>
      </c>
      <c r="K77" s="7">
        <f t="shared" si="4"/>
        <v>498.27073333331754</v>
      </c>
      <c r="L77" s="7">
        <f t="shared" si="5"/>
        <v>204.93875261999349</v>
      </c>
    </row>
    <row r="78" spans="1:12" x14ac:dyDescent="0.35">
      <c r="A78" t="s">
        <v>78</v>
      </c>
      <c r="B78" s="7">
        <v>0.56820000000000004</v>
      </c>
      <c r="C78" s="7">
        <v>5566.1066000000001</v>
      </c>
      <c r="D78" s="7">
        <v>7393.4171999999999</v>
      </c>
      <c r="E78" s="7">
        <v>0</v>
      </c>
      <c r="F78" s="7">
        <v>1827.310599999958</v>
      </c>
      <c r="G78" s="7">
        <v>0</v>
      </c>
      <c r="H78" s="7">
        <v>0</v>
      </c>
      <c r="I78" s="7">
        <v>9054.2035857451992</v>
      </c>
      <c r="J78" s="7">
        <v>9343.1267601736436</v>
      </c>
      <c r="K78" s="7">
        <f t="shared" si="4"/>
        <v>0</v>
      </c>
      <c r="L78" s="7">
        <f t="shared" si="5"/>
        <v>0</v>
      </c>
    </row>
    <row r="79" spans="1:12" x14ac:dyDescent="0.35">
      <c r="A79" t="s">
        <v>79</v>
      </c>
      <c r="B79" s="7">
        <v>0.82789999999999997</v>
      </c>
      <c r="C79" s="7">
        <v>5725.7547999999997</v>
      </c>
      <c r="D79" s="7">
        <v>7312.7978999999996</v>
      </c>
      <c r="E79" s="7">
        <v>0</v>
      </c>
      <c r="F79" s="7">
        <v>1587.043100000054</v>
      </c>
      <c r="G79" s="7">
        <v>0</v>
      </c>
      <c r="H79" s="7">
        <v>0</v>
      </c>
      <c r="I79" s="7">
        <v>9343.1267601736436</v>
      </c>
      <c r="J79" s="7">
        <v>9594.0603072163613</v>
      </c>
      <c r="K79" s="7">
        <f t="shared" si="4"/>
        <v>0</v>
      </c>
      <c r="L79" s="7">
        <f t="shared" si="5"/>
        <v>0</v>
      </c>
    </row>
    <row r="80" spans="1:12" x14ac:dyDescent="0.35">
      <c r="A80" t="s">
        <v>80</v>
      </c>
      <c r="B80" s="7">
        <v>0.86360000000000003</v>
      </c>
      <c r="C80" s="7">
        <v>5739.4957000000004</v>
      </c>
      <c r="D80" s="7">
        <v>7194.5410000000002</v>
      </c>
      <c r="E80" s="7">
        <v>0</v>
      </c>
      <c r="F80" s="7">
        <v>1455.0452999998899</v>
      </c>
      <c r="G80" s="7">
        <v>0</v>
      </c>
      <c r="H80" s="7">
        <v>0</v>
      </c>
      <c r="I80" s="7">
        <v>9594.0603072163613</v>
      </c>
      <c r="J80" s="7">
        <v>9824.123169552513</v>
      </c>
      <c r="K80" s="7">
        <f t="shared" si="4"/>
        <v>0</v>
      </c>
      <c r="L80" s="7">
        <f t="shared" si="5"/>
        <v>0</v>
      </c>
    </row>
    <row r="81" spans="1:12" x14ac:dyDescent="0.35">
      <c r="A81" t="s">
        <v>81</v>
      </c>
      <c r="B81" s="7">
        <v>0.84160000000000001</v>
      </c>
      <c r="C81" s="7">
        <v>5714.6836000000003</v>
      </c>
      <c r="D81" s="7">
        <v>7053.1370999999999</v>
      </c>
      <c r="E81" s="7">
        <v>0</v>
      </c>
      <c r="F81" s="7">
        <v>1338.453500000104</v>
      </c>
      <c r="G81" s="7">
        <v>0</v>
      </c>
      <c r="H81" s="7">
        <v>0</v>
      </c>
      <c r="I81" s="7">
        <v>9824.123169552513</v>
      </c>
      <c r="J81" s="7">
        <v>10035.751249663719</v>
      </c>
      <c r="K81" s="7">
        <f t="shared" si="4"/>
        <v>0</v>
      </c>
      <c r="L81" s="7">
        <f t="shared" si="5"/>
        <v>0</v>
      </c>
    </row>
    <row r="82" spans="1:12" x14ac:dyDescent="0.35">
      <c r="A82" t="s">
        <v>82</v>
      </c>
      <c r="B82" s="7">
        <v>0.86180000000000001</v>
      </c>
      <c r="C82" s="7">
        <v>5717.8504999999996</v>
      </c>
      <c r="D82" s="7">
        <v>6910.4063999999998</v>
      </c>
      <c r="E82" s="7">
        <v>0</v>
      </c>
      <c r="F82" s="7">
        <v>1192.5558999999421</v>
      </c>
      <c r="G82" s="7">
        <v>0</v>
      </c>
      <c r="H82" s="7">
        <v>0</v>
      </c>
      <c r="I82" s="7">
        <v>10035.751249663719</v>
      </c>
      <c r="J82" s="7">
        <v>10224.31089371732</v>
      </c>
      <c r="K82" s="7">
        <f t="shared" si="4"/>
        <v>0</v>
      </c>
      <c r="L82" s="7">
        <f t="shared" si="5"/>
        <v>0</v>
      </c>
    </row>
    <row r="83" spans="1:12" x14ac:dyDescent="0.35">
      <c r="A83" t="s">
        <v>83</v>
      </c>
      <c r="B83" s="7">
        <v>0.86229999999999996</v>
      </c>
      <c r="C83" s="7">
        <v>5708.2485999999999</v>
      </c>
      <c r="D83" s="7">
        <v>6772.4075000000003</v>
      </c>
      <c r="E83" s="7">
        <v>0</v>
      </c>
      <c r="F83" s="7">
        <v>1064.1588999999001</v>
      </c>
      <c r="G83" s="7">
        <v>0</v>
      </c>
      <c r="H83" s="7">
        <v>0</v>
      </c>
      <c r="I83" s="7">
        <v>10224.31089371732</v>
      </c>
      <c r="J83" s="7">
        <v>10392.56918953429</v>
      </c>
      <c r="K83" s="7">
        <f t="shared" si="4"/>
        <v>0</v>
      </c>
      <c r="L83" s="7">
        <f t="shared" si="5"/>
        <v>0</v>
      </c>
    </row>
    <row r="84" spans="1:12" x14ac:dyDescent="0.35">
      <c r="A84" t="s">
        <v>84</v>
      </c>
      <c r="B84" s="7">
        <v>0.90259999999999996</v>
      </c>
      <c r="C84" s="7">
        <v>5696.9182000000001</v>
      </c>
      <c r="D84" s="7">
        <v>6607.36</v>
      </c>
      <c r="E84" s="7">
        <v>0</v>
      </c>
      <c r="F84" s="7">
        <v>910.44179999999085</v>
      </c>
      <c r="G84" s="7">
        <v>0</v>
      </c>
      <c r="H84" s="7">
        <v>0</v>
      </c>
      <c r="I84" s="7">
        <v>10392.56918953429</v>
      </c>
      <c r="J84" s="7">
        <v>10536.52267778547</v>
      </c>
      <c r="K84" s="7">
        <f t="shared" si="4"/>
        <v>0</v>
      </c>
      <c r="L84" s="7">
        <f t="shared" si="5"/>
        <v>0</v>
      </c>
    </row>
    <row r="85" spans="1:12" x14ac:dyDescent="0.35">
      <c r="A85" t="s">
        <v>85</v>
      </c>
      <c r="B85" s="7">
        <v>0.97540000000000004</v>
      </c>
      <c r="C85" s="7">
        <v>5692.2983000000004</v>
      </c>
      <c r="D85" s="7">
        <v>6412.5084999999999</v>
      </c>
      <c r="E85" s="7">
        <v>0</v>
      </c>
      <c r="F85" s="7">
        <v>720.21020000005524</v>
      </c>
      <c r="G85" s="7">
        <v>0</v>
      </c>
      <c r="H85" s="7">
        <v>0</v>
      </c>
      <c r="I85" s="7">
        <v>10536.52267778547</v>
      </c>
      <c r="J85" s="7">
        <v>10650.397909089739</v>
      </c>
      <c r="K85" s="7">
        <f t="shared" si="4"/>
        <v>0</v>
      </c>
      <c r="L85" s="7">
        <f t="shared" si="5"/>
        <v>0</v>
      </c>
    </row>
    <row r="86" spans="1:12" x14ac:dyDescent="0.35">
      <c r="A86" t="s">
        <v>86</v>
      </c>
      <c r="B86" s="7">
        <v>1.0002</v>
      </c>
      <c r="C86" s="7">
        <v>5687.1291000000001</v>
      </c>
      <c r="D86" s="7">
        <v>6214.0158000000001</v>
      </c>
      <c r="E86" s="7">
        <v>0</v>
      </c>
      <c r="F86" s="7">
        <v>526.88669999986644</v>
      </c>
      <c r="G86" s="7">
        <v>0</v>
      </c>
      <c r="H86" s="7">
        <v>0</v>
      </c>
      <c r="I86" s="7">
        <v>10650.397909089739</v>
      </c>
      <c r="J86" s="7">
        <v>10733.70601113223</v>
      </c>
      <c r="K86" s="7">
        <f t="shared" si="4"/>
        <v>0</v>
      </c>
      <c r="L86" s="7">
        <f t="shared" si="5"/>
        <v>0</v>
      </c>
    </row>
    <row r="87" spans="1:12" x14ac:dyDescent="0.35">
      <c r="A87" t="s">
        <v>87</v>
      </c>
      <c r="B87" s="7">
        <v>0.99780000000000002</v>
      </c>
      <c r="C87" s="7">
        <v>5678.9620000000004</v>
      </c>
      <c r="D87" s="7">
        <v>6000.7111999999997</v>
      </c>
      <c r="E87" s="7">
        <v>0</v>
      </c>
      <c r="F87" s="7">
        <v>321.74919999992869</v>
      </c>
      <c r="G87" s="7">
        <v>0</v>
      </c>
      <c r="H87" s="7">
        <v>0</v>
      </c>
      <c r="I87" s="7">
        <v>10733.70601113223</v>
      </c>
      <c r="J87" s="7">
        <v>10784.579026499079</v>
      </c>
      <c r="K87" s="7">
        <f t="shared" si="4"/>
        <v>0</v>
      </c>
      <c r="L87" s="7">
        <f t="shared" si="5"/>
        <v>0</v>
      </c>
    </row>
    <row r="88" spans="1:12" x14ac:dyDescent="0.35">
      <c r="A88" t="s">
        <v>88</v>
      </c>
      <c r="B88" s="7">
        <v>1.0270999999999999</v>
      </c>
      <c r="C88" s="7">
        <v>5669.4507999999996</v>
      </c>
      <c r="D88" s="7">
        <v>5766.9816000000001</v>
      </c>
      <c r="E88" s="7">
        <v>0</v>
      </c>
      <c r="F88" s="7">
        <v>97.530799999876677</v>
      </c>
      <c r="G88" s="7">
        <v>0</v>
      </c>
      <c r="H88" s="7">
        <v>0</v>
      </c>
      <c r="I88" s="7">
        <v>10784.579026499079</v>
      </c>
      <c r="J88" s="7">
        <v>10800</v>
      </c>
      <c r="K88" s="7">
        <f t="shared" si="4"/>
        <v>0</v>
      </c>
      <c r="L88" s="7">
        <f t="shared" si="5"/>
        <v>0</v>
      </c>
    </row>
    <row r="89" spans="1:12" x14ac:dyDescent="0.35">
      <c r="A89" t="s">
        <v>89</v>
      </c>
      <c r="B89" s="7">
        <v>1.0906</v>
      </c>
      <c r="C89" s="7">
        <v>5664.1948000000002</v>
      </c>
      <c r="D89" s="7">
        <v>5521.5065999999997</v>
      </c>
      <c r="E89" s="7">
        <v>0</v>
      </c>
      <c r="F89" s="7">
        <v>0</v>
      </c>
      <c r="G89" s="7">
        <v>142.68819999995759</v>
      </c>
      <c r="H89" s="7">
        <v>0</v>
      </c>
      <c r="I89" s="7">
        <v>10800</v>
      </c>
      <c r="J89" s="7">
        <v>10774.932238487239</v>
      </c>
      <c r="K89" s="7">
        <f t="shared" si="4"/>
        <v>0</v>
      </c>
      <c r="L89" s="7">
        <f t="shared" si="5"/>
        <v>0</v>
      </c>
    </row>
    <row r="90" spans="1:12" x14ac:dyDescent="0.35">
      <c r="A90" t="s">
        <v>90</v>
      </c>
      <c r="B90" s="7">
        <v>0.93759999999999999</v>
      </c>
      <c r="C90" s="7">
        <v>5672.7011000000002</v>
      </c>
      <c r="D90" s="7">
        <v>5268.7809999999999</v>
      </c>
      <c r="E90" s="7">
        <v>0</v>
      </c>
      <c r="F90" s="7">
        <v>0</v>
      </c>
      <c r="G90" s="7">
        <v>403.92010000009941</v>
      </c>
      <c r="H90" s="7">
        <v>0</v>
      </c>
      <c r="I90" s="7">
        <v>10774.932238487239</v>
      </c>
      <c r="J90" s="7">
        <v>10703.97071022485</v>
      </c>
      <c r="K90" s="7">
        <f t="shared" si="4"/>
        <v>0</v>
      </c>
      <c r="L90" s="7">
        <f t="shared" si="5"/>
        <v>0</v>
      </c>
    </row>
    <row r="91" spans="1:12" x14ac:dyDescent="0.35">
      <c r="A91" t="s">
        <v>91</v>
      </c>
      <c r="B91" s="7">
        <v>0.6694</v>
      </c>
      <c r="C91" s="7">
        <v>5682.2543999999998</v>
      </c>
      <c r="D91" s="7">
        <v>5009.7151999999996</v>
      </c>
      <c r="E91" s="7">
        <v>672.53920000005166</v>
      </c>
      <c r="F91" s="7">
        <v>0</v>
      </c>
      <c r="G91" s="7">
        <v>0</v>
      </c>
      <c r="H91" s="7">
        <v>0</v>
      </c>
      <c r="I91" s="7">
        <v>10703.97071022485</v>
      </c>
      <c r="J91" s="7">
        <v>10703.970710224859</v>
      </c>
      <c r="K91" s="7">
        <f t="shared" si="4"/>
        <v>112.08986666667528</v>
      </c>
      <c r="L91" s="7">
        <f t="shared" si="5"/>
        <v>75.032956746672426</v>
      </c>
    </row>
    <row r="92" spans="1:12" x14ac:dyDescent="0.35">
      <c r="A92" t="s">
        <v>92</v>
      </c>
      <c r="B92" s="7">
        <v>0.66</v>
      </c>
      <c r="C92" s="7">
        <v>5669.0195000000003</v>
      </c>
      <c r="D92" s="7">
        <v>4743.4484000000002</v>
      </c>
      <c r="E92" s="7">
        <v>1532.9136555556929</v>
      </c>
      <c r="F92" s="7">
        <v>607.3425555556471</v>
      </c>
      <c r="G92" s="7">
        <v>0</v>
      </c>
      <c r="H92" s="7">
        <v>0</v>
      </c>
      <c r="I92" s="7">
        <v>10703.970710224859</v>
      </c>
      <c r="J92" s="7">
        <v>10800.000000000029</v>
      </c>
      <c r="K92" s="7">
        <f t="shared" si="4"/>
        <v>255.48560925928214</v>
      </c>
      <c r="L92" s="7">
        <f t="shared" si="5"/>
        <v>168.62050211112623</v>
      </c>
    </row>
    <row r="93" spans="1:12" x14ac:dyDescent="0.35">
      <c r="A93" t="s">
        <v>93</v>
      </c>
      <c r="B93" s="7">
        <v>0.72170000000000001</v>
      </c>
      <c r="C93" s="7">
        <v>5656.3651</v>
      </c>
      <c r="D93" s="7">
        <v>4471.2240000000002</v>
      </c>
      <c r="E93" s="7">
        <v>1185.141100000011</v>
      </c>
      <c r="F93" s="7">
        <v>0</v>
      </c>
      <c r="G93" s="7">
        <v>0</v>
      </c>
      <c r="H93" s="7">
        <v>0</v>
      </c>
      <c r="I93" s="7">
        <v>10800.000000000029</v>
      </c>
      <c r="J93" s="7">
        <v>10800.000000000029</v>
      </c>
      <c r="K93" s="7">
        <f t="shared" si="4"/>
        <v>197.52351666666848</v>
      </c>
      <c r="L93" s="7">
        <f t="shared" si="5"/>
        <v>142.55272197833466</v>
      </c>
    </row>
    <row r="94" spans="1:12" x14ac:dyDescent="0.35">
      <c r="A94" t="s">
        <v>94</v>
      </c>
      <c r="B94" s="7">
        <v>0.73080000000000001</v>
      </c>
      <c r="C94" s="7">
        <v>5657.0866999999998</v>
      </c>
      <c r="D94" s="7">
        <v>4188.2025000000003</v>
      </c>
      <c r="E94" s="7">
        <v>1468.8841999999729</v>
      </c>
      <c r="F94" s="7">
        <v>0</v>
      </c>
      <c r="G94" s="7">
        <v>0</v>
      </c>
      <c r="H94" s="7">
        <v>0</v>
      </c>
      <c r="I94" s="7">
        <v>10800.000000000029</v>
      </c>
      <c r="J94" s="7">
        <v>10800.00000000002</v>
      </c>
      <c r="K94" s="7">
        <f t="shared" si="4"/>
        <v>244.81403333332881</v>
      </c>
      <c r="L94" s="7">
        <f t="shared" si="5"/>
        <v>178.91009555999671</v>
      </c>
    </row>
    <row r="95" spans="1:12" x14ac:dyDescent="0.35">
      <c r="A95" t="s">
        <v>95</v>
      </c>
      <c r="B95" s="7">
        <v>0.75339999999999996</v>
      </c>
      <c r="C95" s="7">
        <v>5662.6008000000002</v>
      </c>
      <c r="D95" s="7">
        <v>3889.3930999999998</v>
      </c>
      <c r="E95" s="7">
        <v>1773.207699999901</v>
      </c>
      <c r="F95" s="7">
        <v>0</v>
      </c>
      <c r="G95" s="7">
        <v>0</v>
      </c>
      <c r="H95" s="7">
        <v>0</v>
      </c>
      <c r="I95" s="7">
        <v>10800.00000000002</v>
      </c>
      <c r="J95" s="7">
        <v>10800</v>
      </c>
      <c r="K95" s="7">
        <f t="shared" si="4"/>
        <v>295.53461666665015</v>
      </c>
      <c r="L95" s="7">
        <f t="shared" si="5"/>
        <v>222.65578019665421</v>
      </c>
    </row>
    <row r="96" spans="1:12" x14ac:dyDescent="0.35">
      <c r="A96" t="s">
        <v>96</v>
      </c>
      <c r="B96" s="7">
        <v>0.7823</v>
      </c>
      <c r="C96" s="7">
        <v>5669.2596000000003</v>
      </c>
      <c r="D96" s="7">
        <v>3594.5945999999999</v>
      </c>
      <c r="E96" s="7">
        <v>2074.6649999999781</v>
      </c>
      <c r="F96" s="7">
        <v>0</v>
      </c>
      <c r="G96" s="7">
        <v>0</v>
      </c>
      <c r="H96" s="7">
        <v>0</v>
      </c>
      <c r="I96" s="7">
        <v>10800</v>
      </c>
      <c r="J96" s="7">
        <v>10800</v>
      </c>
      <c r="K96" s="7">
        <f t="shared" si="4"/>
        <v>345.77749999999634</v>
      </c>
      <c r="L96" s="7">
        <f t="shared" si="5"/>
        <v>270.50173824999712</v>
      </c>
    </row>
    <row r="97" spans="1:12" x14ac:dyDescent="0.35">
      <c r="A97" t="s">
        <v>97</v>
      </c>
      <c r="B97" s="7">
        <v>0.80549999999999999</v>
      </c>
      <c r="C97" s="7">
        <v>5673.4767000000002</v>
      </c>
      <c r="D97" s="7">
        <v>3303.8878</v>
      </c>
      <c r="E97" s="7">
        <v>2369.588900000002</v>
      </c>
      <c r="F97" s="7">
        <v>0</v>
      </c>
      <c r="G97" s="7">
        <v>0</v>
      </c>
      <c r="H97" s="7">
        <v>0</v>
      </c>
      <c r="I97" s="7">
        <v>10800</v>
      </c>
      <c r="J97" s="7">
        <v>10800</v>
      </c>
      <c r="K97" s="7">
        <f t="shared" si="4"/>
        <v>394.93148333333369</v>
      </c>
      <c r="L97" s="7">
        <f t="shared" si="5"/>
        <v>318.11730982500029</v>
      </c>
    </row>
    <row r="98" spans="1:12" x14ac:dyDescent="0.35">
      <c r="A98" t="s">
        <v>98</v>
      </c>
      <c r="B98" s="7">
        <v>0.82709999999999995</v>
      </c>
      <c r="C98" s="7">
        <v>5671.0146000000004</v>
      </c>
      <c r="D98" s="7">
        <v>2998.4247</v>
      </c>
      <c r="E98" s="7">
        <v>2672.5898999999431</v>
      </c>
      <c r="F98" s="7">
        <v>0</v>
      </c>
      <c r="G98" s="7">
        <v>0</v>
      </c>
      <c r="H98" s="7">
        <v>0</v>
      </c>
      <c r="I98" s="7">
        <v>10800</v>
      </c>
      <c r="J98" s="7">
        <v>10799.999999999991</v>
      </c>
      <c r="K98" s="7">
        <f t="shared" ref="K98:K129" si="6">E98/6</f>
        <v>445.4316499999905</v>
      </c>
      <c r="L98" s="7">
        <f t="shared" ref="L98:L129" si="7">B98*K98</f>
        <v>368.4165177149921</v>
      </c>
    </row>
    <row r="99" spans="1:12" x14ac:dyDescent="0.35">
      <c r="A99" t="s">
        <v>99</v>
      </c>
      <c r="B99" s="7">
        <v>0.85189999999999999</v>
      </c>
      <c r="C99" s="7">
        <v>5661.5925999999999</v>
      </c>
      <c r="D99" s="7">
        <v>2687.4131000000002</v>
      </c>
      <c r="E99" s="7">
        <v>2974.1794999999888</v>
      </c>
      <c r="F99" s="7">
        <v>0</v>
      </c>
      <c r="G99" s="7">
        <v>0</v>
      </c>
      <c r="H99" s="7">
        <v>0</v>
      </c>
      <c r="I99" s="7">
        <v>10799.999999999991</v>
      </c>
      <c r="J99" s="7">
        <v>10799.999999999991</v>
      </c>
      <c r="K99" s="7">
        <f t="shared" si="6"/>
        <v>495.69658333333149</v>
      </c>
      <c r="L99" s="7">
        <f t="shared" si="7"/>
        <v>422.28391934166507</v>
      </c>
    </row>
    <row r="100" spans="1:12" x14ac:dyDescent="0.35">
      <c r="A100" t="s">
        <v>100</v>
      </c>
      <c r="B100" s="7">
        <v>0.87909999999999999</v>
      </c>
      <c r="C100" s="7">
        <v>5665.8922000000002</v>
      </c>
      <c r="D100" s="7">
        <v>2383.1779000000001</v>
      </c>
      <c r="E100" s="7">
        <v>3282.7142999999951</v>
      </c>
      <c r="F100" s="7">
        <v>0</v>
      </c>
      <c r="G100" s="7">
        <v>0</v>
      </c>
      <c r="H100" s="7">
        <v>0</v>
      </c>
      <c r="I100" s="7">
        <v>10799.999999999991</v>
      </c>
      <c r="J100" s="7">
        <v>10799.999999999991</v>
      </c>
      <c r="K100" s="7">
        <f t="shared" si="6"/>
        <v>547.11904999999922</v>
      </c>
      <c r="L100" s="7">
        <f t="shared" si="7"/>
        <v>480.9723568549993</v>
      </c>
    </row>
    <row r="101" spans="1:12" x14ac:dyDescent="0.35">
      <c r="A101" t="s">
        <v>101</v>
      </c>
      <c r="B101" s="7">
        <v>0.90239999999999998</v>
      </c>
      <c r="C101" s="7">
        <v>5689.0371999999998</v>
      </c>
      <c r="D101" s="7">
        <v>2089.1246000000001</v>
      </c>
      <c r="E101" s="7">
        <v>3599.9125999999942</v>
      </c>
      <c r="F101" s="7">
        <v>0</v>
      </c>
      <c r="G101" s="7">
        <v>0</v>
      </c>
      <c r="H101" s="7">
        <v>0</v>
      </c>
      <c r="I101" s="7">
        <v>10799.999999999991</v>
      </c>
      <c r="J101" s="7">
        <v>10799.999999999991</v>
      </c>
      <c r="K101" s="7">
        <f t="shared" si="6"/>
        <v>599.98543333333237</v>
      </c>
      <c r="L101" s="7">
        <f t="shared" si="7"/>
        <v>541.42685503999917</v>
      </c>
    </row>
    <row r="102" spans="1:12" x14ac:dyDescent="0.35">
      <c r="A102" t="s">
        <v>102</v>
      </c>
      <c r="B102" s="7">
        <v>0.9163</v>
      </c>
      <c r="C102" s="7">
        <v>5603.6614</v>
      </c>
      <c r="D102" s="7">
        <v>1791.0829000000001</v>
      </c>
      <c r="E102" s="7">
        <v>3812.5784999999451</v>
      </c>
      <c r="F102" s="7">
        <v>0</v>
      </c>
      <c r="G102" s="7">
        <v>0</v>
      </c>
      <c r="H102" s="7">
        <v>0</v>
      </c>
      <c r="I102" s="7">
        <v>10799.999999999991</v>
      </c>
      <c r="J102" s="7">
        <v>10799.99999999998</v>
      </c>
      <c r="K102" s="7">
        <f t="shared" si="6"/>
        <v>635.4297499999908</v>
      </c>
      <c r="L102" s="7">
        <f t="shared" si="7"/>
        <v>582.24427992499159</v>
      </c>
    </row>
    <row r="103" spans="1:12" x14ac:dyDescent="0.35">
      <c r="A103" t="s">
        <v>103</v>
      </c>
      <c r="B103" s="7">
        <v>0.9264</v>
      </c>
      <c r="C103" s="7">
        <v>5466.7124000000003</v>
      </c>
      <c r="D103" s="7">
        <v>1501.7283</v>
      </c>
      <c r="E103" s="7">
        <v>3964.984100000122</v>
      </c>
      <c r="F103" s="7">
        <v>0</v>
      </c>
      <c r="G103" s="7">
        <v>0</v>
      </c>
      <c r="H103" s="7">
        <v>0</v>
      </c>
      <c r="I103" s="7">
        <v>10799.99999999998</v>
      </c>
      <c r="J103" s="7">
        <v>10800</v>
      </c>
      <c r="K103" s="7">
        <f t="shared" si="6"/>
        <v>660.8306833333537</v>
      </c>
      <c r="L103" s="7">
        <f t="shared" si="7"/>
        <v>612.19354504001888</v>
      </c>
    </row>
    <row r="104" spans="1:12" x14ac:dyDescent="0.35">
      <c r="A104" t="s">
        <v>104</v>
      </c>
      <c r="B104" s="7">
        <v>0.94620000000000004</v>
      </c>
      <c r="C104" s="7">
        <v>5467.3939</v>
      </c>
      <c r="D104" s="7">
        <v>1255.1723</v>
      </c>
      <c r="E104" s="7">
        <v>4212.2215999999999</v>
      </c>
      <c r="F104" s="7">
        <v>0</v>
      </c>
      <c r="G104" s="7">
        <v>0</v>
      </c>
      <c r="H104" s="7">
        <v>0</v>
      </c>
      <c r="I104" s="7">
        <v>10800</v>
      </c>
      <c r="J104" s="7">
        <v>10800</v>
      </c>
      <c r="K104" s="7">
        <f t="shared" si="6"/>
        <v>702.03693333333331</v>
      </c>
      <c r="L104" s="7">
        <f t="shared" si="7"/>
        <v>664.26734632</v>
      </c>
    </row>
    <row r="105" spans="1:12" x14ac:dyDescent="0.35">
      <c r="A105" t="s">
        <v>105</v>
      </c>
      <c r="B105" s="7">
        <v>0.97419999999999995</v>
      </c>
      <c r="C105" s="7">
        <v>5464.7269999999999</v>
      </c>
      <c r="D105" s="7">
        <v>1036.3323</v>
      </c>
      <c r="E105" s="7">
        <v>4428.3947000000026</v>
      </c>
      <c r="F105" s="7">
        <v>0</v>
      </c>
      <c r="G105" s="7">
        <v>0</v>
      </c>
      <c r="H105" s="7">
        <v>0</v>
      </c>
      <c r="I105" s="7">
        <v>10800</v>
      </c>
      <c r="J105" s="7">
        <v>10800</v>
      </c>
      <c r="K105" s="7">
        <f t="shared" si="6"/>
        <v>738.0657833333338</v>
      </c>
      <c r="L105" s="7">
        <f t="shared" si="7"/>
        <v>719.02368612333373</v>
      </c>
    </row>
    <row r="106" spans="1:12" x14ac:dyDescent="0.35">
      <c r="A106" t="s">
        <v>106</v>
      </c>
      <c r="B106" s="7">
        <v>0.98619999999999997</v>
      </c>
      <c r="C106" s="7">
        <v>5492.4458000000004</v>
      </c>
      <c r="D106" s="7">
        <v>836.77750000000003</v>
      </c>
      <c r="E106" s="7">
        <v>4655.6683000001422</v>
      </c>
      <c r="F106" s="7">
        <v>0</v>
      </c>
      <c r="G106" s="7">
        <v>0</v>
      </c>
      <c r="H106" s="7">
        <v>0</v>
      </c>
      <c r="I106" s="7">
        <v>10800</v>
      </c>
      <c r="J106" s="7">
        <v>10800.00000000002</v>
      </c>
      <c r="K106" s="7">
        <f t="shared" si="6"/>
        <v>775.9447166666904</v>
      </c>
      <c r="L106" s="7">
        <f t="shared" si="7"/>
        <v>765.23667957668999</v>
      </c>
    </row>
    <row r="107" spans="1:12" x14ac:dyDescent="0.35">
      <c r="A107" t="s">
        <v>107</v>
      </c>
      <c r="B107" s="7">
        <v>0.97599999999999998</v>
      </c>
      <c r="C107" s="7">
        <v>5621.7308000000003</v>
      </c>
      <c r="D107" s="7">
        <v>665.23130000000003</v>
      </c>
      <c r="E107" s="7">
        <v>4956.4994999998607</v>
      </c>
      <c r="F107" s="7">
        <v>0</v>
      </c>
      <c r="G107" s="7">
        <v>0</v>
      </c>
      <c r="H107" s="7">
        <v>0</v>
      </c>
      <c r="I107" s="7">
        <v>10800.00000000002</v>
      </c>
      <c r="J107" s="7">
        <v>10800</v>
      </c>
      <c r="K107" s="7">
        <f t="shared" si="6"/>
        <v>826.08324999997683</v>
      </c>
      <c r="L107" s="7">
        <f t="shared" si="7"/>
        <v>806.25725199997737</v>
      </c>
    </row>
    <row r="108" spans="1:12" x14ac:dyDescent="0.35">
      <c r="A108" t="s">
        <v>108</v>
      </c>
      <c r="B108" s="7">
        <v>1.0742</v>
      </c>
      <c r="C108" s="7">
        <v>5091.2125999999998</v>
      </c>
      <c r="D108" s="7">
        <v>516.67579999999998</v>
      </c>
      <c r="E108" s="7">
        <v>4574.5367999999999</v>
      </c>
      <c r="F108" s="7">
        <v>0</v>
      </c>
      <c r="G108" s="7">
        <v>0</v>
      </c>
      <c r="H108" s="7">
        <v>0</v>
      </c>
      <c r="I108" s="7">
        <v>10800</v>
      </c>
      <c r="J108" s="7">
        <v>10800</v>
      </c>
      <c r="K108" s="7">
        <f t="shared" si="6"/>
        <v>762.42279999999994</v>
      </c>
      <c r="L108" s="7">
        <f t="shared" si="7"/>
        <v>818.99457175999999</v>
      </c>
    </row>
    <row r="109" spans="1:12" x14ac:dyDescent="0.35">
      <c r="A109" t="s">
        <v>109</v>
      </c>
      <c r="B109" s="7">
        <v>1.2313000000000001</v>
      </c>
      <c r="C109" s="7">
        <v>4208.5688</v>
      </c>
      <c r="D109" s="7">
        <v>386.67309999999998</v>
      </c>
      <c r="E109" s="7">
        <v>3821.8956999999868</v>
      </c>
      <c r="F109" s="7">
        <v>0</v>
      </c>
      <c r="G109" s="7">
        <v>0</v>
      </c>
      <c r="H109" s="7">
        <v>0</v>
      </c>
      <c r="I109" s="7">
        <v>10800</v>
      </c>
      <c r="J109" s="7">
        <v>10800</v>
      </c>
      <c r="K109" s="7">
        <f t="shared" si="6"/>
        <v>636.98261666666451</v>
      </c>
      <c r="L109" s="7">
        <f t="shared" si="7"/>
        <v>784.31669590166405</v>
      </c>
    </row>
    <row r="110" spans="1:12" x14ac:dyDescent="0.35">
      <c r="A110" t="s">
        <v>110</v>
      </c>
      <c r="B110" s="7">
        <v>1.2561</v>
      </c>
      <c r="C110" s="7">
        <v>4122.7610999999997</v>
      </c>
      <c r="D110" s="7">
        <v>275.79329999999999</v>
      </c>
      <c r="E110" s="7">
        <v>387.2063322903594</v>
      </c>
      <c r="F110" s="7">
        <v>0</v>
      </c>
      <c r="G110" s="7">
        <v>3459.7614677096581</v>
      </c>
      <c r="H110" s="7">
        <v>0</v>
      </c>
      <c r="I110" s="7">
        <v>10800</v>
      </c>
      <c r="J110" s="7">
        <v>10192.18186673058</v>
      </c>
      <c r="K110" s="7">
        <f t="shared" si="6"/>
        <v>64.534388715059904</v>
      </c>
      <c r="L110" s="7">
        <f t="shared" si="7"/>
        <v>81.061645664986742</v>
      </c>
    </row>
    <row r="111" spans="1:12" x14ac:dyDescent="0.35">
      <c r="A111" t="s">
        <v>111</v>
      </c>
      <c r="B111" s="7">
        <v>1.2446999999999999</v>
      </c>
      <c r="C111" s="7">
        <v>4255.9358000000002</v>
      </c>
      <c r="D111" s="7">
        <v>182.95259999999999</v>
      </c>
      <c r="E111" s="7">
        <v>4072.983200000017</v>
      </c>
      <c r="F111" s="7">
        <v>0</v>
      </c>
      <c r="G111" s="7">
        <v>0</v>
      </c>
      <c r="H111" s="7">
        <v>0</v>
      </c>
      <c r="I111" s="7">
        <v>10192.18186673058</v>
      </c>
      <c r="J111" s="7">
        <v>10192.18186673058</v>
      </c>
      <c r="K111" s="7">
        <f t="shared" si="6"/>
        <v>678.83053333333612</v>
      </c>
      <c r="L111" s="7">
        <f t="shared" si="7"/>
        <v>844.94036484000344</v>
      </c>
    </row>
    <row r="112" spans="1:12" x14ac:dyDescent="0.35">
      <c r="A112" t="s">
        <v>112</v>
      </c>
      <c r="B112" s="7">
        <v>1.2544999999999999</v>
      </c>
      <c r="C112" s="7">
        <v>4225.9524000000001</v>
      </c>
      <c r="D112" s="7">
        <v>108.34139999999999</v>
      </c>
      <c r="E112" s="7">
        <v>4117.6110000000735</v>
      </c>
      <c r="F112" s="7">
        <v>0</v>
      </c>
      <c r="G112" s="7">
        <v>0</v>
      </c>
      <c r="H112" s="7">
        <v>0</v>
      </c>
      <c r="I112" s="7">
        <v>10192.18186673058</v>
      </c>
      <c r="J112" s="7">
        <v>10192.181866730591</v>
      </c>
      <c r="K112" s="7">
        <f t="shared" si="6"/>
        <v>686.2685000000123</v>
      </c>
      <c r="L112" s="7">
        <f t="shared" si="7"/>
        <v>860.92383325001538</v>
      </c>
    </row>
    <row r="113" spans="1:12" x14ac:dyDescent="0.35">
      <c r="A113" t="s">
        <v>113</v>
      </c>
      <c r="B113" s="7">
        <v>1.2522</v>
      </c>
      <c r="C113" s="7">
        <v>4233.3383999999996</v>
      </c>
      <c r="D113" s="7">
        <v>54.312100000000001</v>
      </c>
      <c r="E113" s="7">
        <v>4179.0262999999686</v>
      </c>
      <c r="F113" s="7">
        <v>0</v>
      </c>
      <c r="G113" s="7">
        <v>0</v>
      </c>
      <c r="H113" s="7">
        <v>0</v>
      </c>
      <c r="I113" s="7">
        <v>10192.181866730591</v>
      </c>
      <c r="J113" s="7">
        <v>10192.181866730591</v>
      </c>
      <c r="K113" s="7">
        <f t="shared" si="6"/>
        <v>696.50438333332806</v>
      </c>
      <c r="L113" s="7">
        <f t="shared" si="7"/>
        <v>872.16278880999334</v>
      </c>
    </row>
    <row r="114" spans="1:12" x14ac:dyDescent="0.35">
      <c r="A114" t="s">
        <v>114</v>
      </c>
      <c r="B114" s="7">
        <v>1.2881</v>
      </c>
      <c r="C114" s="7">
        <v>4246.4624999999996</v>
      </c>
      <c r="D114" s="7">
        <v>18.6569</v>
      </c>
      <c r="E114" s="7">
        <v>0</v>
      </c>
      <c r="F114" s="7">
        <v>0</v>
      </c>
      <c r="G114" s="7">
        <v>4227.8056000000042</v>
      </c>
      <c r="H114" s="7">
        <v>0</v>
      </c>
      <c r="I114" s="7">
        <v>10192.181866730591</v>
      </c>
      <c r="J114" s="7">
        <v>9449.43213337421</v>
      </c>
      <c r="K114" s="7">
        <f t="shared" si="6"/>
        <v>0</v>
      </c>
      <c r="L114" s="7">
        <f t="shared" si="7"/>
        <v>0</v>
      </c>
    </row>
    <row r="115" spans="1:12" x14ac:dyDescent="0.35">
      <c r="A115" t="s">
        <v>115</v>
      </c>
      <c r="B115" s="7">
        <v>1.3466</v>
      </c>
      <c r="C115" s="7">
        <v>4239.1795000000002</v>
      </c>
      <c r="D115" s="7">
        <v>0.27529999999999999</v>
      </c>
      <c r="E115" s="7">
        <v>0</v>
      </c>
      <c r="F115" s="7">
        <v>0</v>
      </c>
      <c r="G115" s="7">
        <v>4238.9042000000172</v>
      </c>
      <c r="H115" s="7">
        <v>0</v>
      </c>
      <c r="I115" s="7">
        <v>9449.43213337421</v>
      </c>
      <c r="J115" s="7">
        <v>8704.7325747489922</v>
      </c>
      <c r="K115" s="7">
        <f t="shared" si="6"/>
        <v>0</v>
      </c>
      <c r="L115" s="7">
        <f t="shared" si="7"/>
        <v>0</v>
      </c>
    </row>
    <row r="116" spans="1:12" x14ac:dyDescent="0.35">
      <c r="A116" t="s">
        <v>116</v>
      </c>
      <c r="B116" s="7">
        <v>1.3523000000000001</v>
      </c>
      <c r="C116" s="7">
        <v>4244.6683999999996</v>
      </c>
      <c r="D116" s="7">
        <v>0.2296</v>
      </c>
      <c r="E116" s="7">
        <v>0</v>
      </c>
      <c r="F116" s="7">
        <v>0</v>
      </c>
      <c r="G116" s="7">
        <v>4244.4387999999544</v>
      </c>
      <c r="H116" s="7">
        <v>0</v>
      </c>
      <c r="I116" s="7">
        <v>8704.7325747489922</v>
      </c>
      <c r="J116" s="7">
        <v>7959.0606860161106</v>
      </c>
      <c r="K116" s="7">
        <f t="shared" si="6"/>
        <v>0</v>
      </c>
      <c r="L116" s="7">
        <f t="shared" si="7"/>
        <v>0</v>
      </c>
    </row>
    <row r="117" spans="1:12" x14ac:dyDescent="0.35">
      <c r="A117" t="s">
        <v>117</v>
      </c>
      <c r="B117" s="7">
        <v>1.3445</v>
      </c>
      <c r="C117" s="7">
        <v>4251.9187000000002</v>
      </c>
      <c r="D117" s="7">
        <v>0.60070000000000001</v>
      </c>
      <c r="E117" s="7">
        <v>0</v>
      </c>
      <c r="F117" s="7">
        <v>0</v>
      </c>
      <c r="G117" s="7">
        <v>4251.3180000000639</v>
      </c>
      <c r="H117" s="7">
        <v>0</v>
      </c>
      <c r="I117" s="7">
        <v>7959.0606860161106</v>
      </c>
      <c r="J117" s="7">
        <v>7212.1802450343484</v>
      </c>
      <c r="K117" s="7">
        <f t="shared" si="6"/>
        <v>0</v>
      </c>
      <c r="L117" s="7">
        <f t="shared" si="7"/>
        <v>0</v>
      </c>
    </row>
    <row r="118" spans="1:12" x14ac:dyDescent="0.35">
      <c r="A118" t="s">
        <v>118</v>
      </c>
      <c r="B118" s="7">
        <v>1.3483000000000001</v>
      </c>
      <c r="C118" s="7">
        <v>4256.6813000000002</v>
      </c>
      <c r="D118" s="7">
        <v>0</v>
      </c>
      <c r="E118" s="7">
        <v>0</v>
      </c>
      <c r="F118" s="7">
        <v>0</v>
      </c>
      <c r="G118" s="7">
        <v>4256.6812999999629</v>
      </c>
      <c r="H118" s="7">
        <v>0</v>
      </c>
      <c r="I118" s="7">
        <v>7212.1802450343484</v>
      </c>
      <c r="J118" s="7">
        <v>6464.3575682873206</v>
      </c>
      <c r="K118" s="7">
        <f t="shared" si="6"/>
        <v>0</v>
      </c>
      <c r="L118" s="7">
        <f t="shared" si="7"/>
        <v>0</v>
      </c>
    </row>
    <row r="119" spans="1:12" x14ac:dyDescent="0.35">
      <c r="A119" t="s">
        <v>119</v>
      </c>
      <c r="B119" s="7">
        <v>1.349</v>
      </c>
      <c r="C119" s="7">
        <v>4267.3946999999998</v>
      </c>
      <c r="D119" s="7">
        <v>0</v>
      </c>
      <c r="E119" s="7">
        <v>0</v>
      </c>
      <c r="F119" s="7">
        <v>0</v>
      </c>
      <c r="G119" s="7">
        <v>4267.3946999999807</v>
      </c>
      <c r="H119" s="7">
        <v>0</v>
      </c>
      <c r="I119" s="7">
        <v>6464.3575682873206</v>
      </c>
      <c r="J119" s="7">
        <v>5714.6527390133797</v>
      </c>
      <c r="K119" s="7">
        <f t="shared" si="6"/>
        <v>0</v>
      </c>
      <c r="L119" s="7">
        <f t="shared" si="7"/>
        <v>0</v>
      </c>
    </row>
    <row r="120" spans="1:12" x14ac:dyDescent="0.35">
      <c r="A120" t="s">
        <v>120</v>
      </c>
      <c r="B120" s="7">
        <v>1.3472999999999999</v>
      </c>
      <c r="C120" s="7">
        <v>4269.9750000000004</v>
      </c>
      <c r="D120" s="7">
        <v>0</v>
      </c>
      <c r="E120" s="7">
        <v>0</v>
      </c>
      <c r="F120" s="7">
        <v>0</v>
      </c>
      <c r="G120" s="7">
        <v>4269.9749999999458</v>
      </c>
      <c r="H120" s="7">
        <v>0</v>
      </c>
      <c r="I120" s="7">
        <v>5714.6527390133797</v>
      </c>
      <c r="J120" s="7">
        <v>4964.4945972368541</v>
      </c>
      <c r="K120" s="7">
        <f t="shared" si="6"/>
        <v>0</v>
      </c>
      <c r="L120" s="7">
        <f t="shared" si="7"/>
        <v>0</v>
      </c>
    </row>
    <row r="121" spans="1:12" x14ac:dyDescent="0.35">
      <c r="A121" t="s">
        <v>121</v>
      </c>
      <c r="B121" s="7">
        <v>1.3482000000000001</v>
      </c>
      <c r="C121" s="7">
        <v>4268.6701999999996</v>
      </c>
      <c r="D121" s="7">
        <v>0</v>
      </c>
      <c r="E121" s="7">
        <v>0</v>
      </c>
      <c r="F121" s="7">
        <v>0</v>
      </c>
      <c r="G121" s="7">
        <v>4268.6701999999668</v>
      </c>
      <c r="H121" s="7">
        <v>0</v>
      </c>
      <c r="I121" s="7">
        <v>4964.4945972368541</v>
      </c>
      <c r="J121" s="7">
        <v>4214.5656854542722</v>
      </c>
      <c r="K121" s="7">
        <f t="shared" si="6"/>
        <v>0</v>
      </c>
      <c r="L121" s="7">
        <f t="shared" si="7"/>
        <v>0</v>
      </c>
    </row>
    <row r="122" spans="1:12" x14ac:dyDescent="0.35">
      <c r="A122" t="s">
        <v>122</v>
      </c>
      <c r="B122" s="7">
        <v>1.3512999999999999</v>
      </c>
      <c r="C122" s="7">
        <v>4282.2245000000003</v>
      </c>
      <c r="D122" s="7">
        <v>0</v>
      </c>
      <c r="E122" s="7">
        <v>0</v>
      </c>
      <c r="F122" s="7">
        <v>0</v>
      </c>
      <c r="G122" s="7">
        <v>4282.224499999993</v>
      </c>
      <c r="H122" s="7">
        <v>0</v>
      </c>
      <c r="I122" s="7">
        <v>4214.5656854542722</v>
      </c>
      <c r="J122" s="7">
        <v>3462.2555258889552</v>
      </c>
      <c r="K122" s="7">
        <f t="shared" si="6"/>
        <v>0</v>
      </c>
      <c r="L122" s="7">
        <f t="shared" si="7"/>
        <v>0</v>
      </c>
    </row>
    <row r="123" spans="1:12" x14ac:dyDescent="0.35">
      <c r="A123" t="s">
        <v>123</v>
      </c>
      <c r="B123" s="7">
        <v>1.34</v>
      </c>
      <c r="C123" s="7">
        <v>4291.7048999999997</v>
      </c>
      <c r="D123" s="7">
        <v>0</v>
      </c>
      <c r="E123" s="7">
        <v>0</v>
      </c>
      <c r="F123" s="7">
        <v>0</v>
      </c>
      <c r="G123" s="7">
        <v>4291.7049000000279</v>
      </c>
      <c r="H123" s="7">
        <v>0</v>
      </c>
      <c r="I123" s="7">
        <v>3462.2555258889552</v>
      </c>
      <c r="J123" s="7">
        <v>2708.2798298164448</v>
      </c>
      <c r="K123" s="7">
        <f t="shared" si="6"/>
        <v>0</v>
      </c>
      <c r="L123" s="7">
        <f t="shared" si="7"/>
        <v>0</v>
      </c>
    </row>
    <row r="124" spans="1:12" x14ac:dyDescent="0.35">
      <c r="A124" t="s">
        <v>124</v>
      </c>
      <c r="B124" s="7">
        <v>1.3489</v>
      </c>
      <c r="C124" s="7">
        <v>4291.3611000000001</v>
      </c>
      <c r="D124" s="7">
        <v>0</v>
      </c>
      <c r="E124" s="7">
        <v>0</v>
      </c>
      <c r="F124" s="7">
        <v>0</v>
      </c>
      <c r="G124" s="7">
        <v>4291.361099999961</v>
      </c>
      <c r="H124" s="7">
        <v>0</v>
      </c>
      <c r="I124" s="7">
        <v>2708.2798298164448</v>
      </c>
      <c r="J124" s="7">
        <v>1954.3645332472449</v>
      </c>
      <c r="K124" s="7">
        <f t="shared" si="6"/>
        <v>0</v>
      </c>
      <c r="L124" s="7">
        <f t="shared" si="7"/>
        <v>0</v>
      </c>
    </row>
    <row r="125" spans="1:12" x14ac:dyDescent="0.35">
      <c r="A125" t="s">
        <v>125</v>
      </c>
      <c r="B125" s="7">
        <v>1.3952</v>
      </c>
      <c r="C125" s="7">
        <v>4293.9182000000001</v>
      </c>
      <c r="D125" s="7">
        <v>0</v>
      </c>
      <c r="E125" s="7">
        <v>0</v>
      </c>
      <c r="F125" s="7">
        <v>0</v>
      </c>
      <c r="G125" s="7">
        <v>4293.9181999999983</v>
      </c>
      <c r="H125" s="7">
        <v>0</v>
      </c>
      <c r="I125" s="7">
        <v>1954.3645332472449</v>
      </c>
      <c r="J125" s="7">
        <v>1200</v>
      </c>
      <c r="K125" s="7">
        <f t="shared" si="6"/>
        <v>0</v>
      </c>
      <c r="L125" s="7">
        <f t="shared" si="7"/>
        <v>0</v>
      </c>
    </row>
    <row r="126" spans="1:12" x14ac:dyDescent="0.35">
      <c r="A126" t="s">
        <v>126</v>
      </c>
      <c r="B126" s="7">
        <v>1.2225999999999999</v>
      </c>
      <c r="C126" s="7">
        <v>4295.2134999999998</v>
      </c>
      <c r="D126" s="7">
        <v>0</v>
      </c>
      <c r="E126" s="7">
        <v>4295.2134999999998</v>
      </c>
      <c r="F126" s="7">
        <v>0</v>
      </c>
      <c r="G126" s="7">
        <v>0</v>
      </c>
      <c r="H126" s="7">
        <v>0</v>
      </c>
      <c r="I126" s="7">
        <v>1200</v>
      </c>
      <c r="J126" s="7">
        <v>1200</v>
      </c>
      <c r="K126" s="7">
        <f t="shared" si="6"/>
        <v>715.86891666666668</v>
      </c>
      <c r="L126" s="7">
        <f t="shared" si="7"/>
        <v>875.22133751666661</v>
      </c>
    </row>
    <row r="127" spans="1:12" x14ac:dyDescent="0.35">
      <c r="A127" t="s">
        <v>127</v>
      </c>
      <c r="B127" s="7">
        <v>0.93320000000000003</v>
      </c>
      <c r="C127" s="7">
        <v>4302.0307000000003</v>
      </c>
      <c r="D127" s="7">
        <v>0</v>
      </c>
      <c r="E127" s="7">
        <v>4302.030700000003</v>
      </c>
      <c r="F127" s="7">
        <v>0</v>
      </c>
      <c r="G127" s="7">
        <v>0</v>
      </c>
      <c r="H127" s="7">
        <v>0</v>
      </c>
      <c r="I127" s="7">
        <v>1200</v>
      </c>
      <c r="J127" s="7">
        <v>1200.0000000000009</v>
      </c>
      <c r="K127" s="7">
        <f t="shared" si="6"/>
        <v>717.00511666666716</v>
      </c>
      <c r="L127" s="7">
        <f t="shared" si="7"/>
        <v>669.10917487333381</v>
      </c>
    </row>
    <row r="128" spans="1:12" x14ac:dyDescent="0.35">
      <c r="A128" t="s">
        <v>128</v>
      </c>
      <c r="B128" s="7">
        <v>0.90680000000000005</v>
      </c>
      <c r="C128" s="7">
        <v>4320.9618</v>
      </c>
      <c r="D128" s="7">
        <v>0</v>
      </c>
      <c r="E128" s="7">
        <v>4320.9617999999973</v>
      </c>
      <c r="F128" s="7">
        <v>0</v>
      </c>
      <c r="G128" s="7">
        <v>0</v>
      </c>
      <c r="H128" s="7">
        <v>0</v>
      </c>
      <c r="I128" s="7">
        <v>1200.0000000000009</v>
      </c>
      <c r="J128" s="7">
        <v>1200</v>
      </c>
      <c r="K128" s="7">
        <f t="shared" si="6"/>
        <v>720.16029999999955</v>
      </c>
      <c r="L128" s="7">
        <f t="shared" si="7"/>
        <v>653.04136003999963</v>
      </c>
    </row>
    <row r="129" spans="1:12" x14ac:dyDescent="0.35">
      <c r="A129" t="s">
        <v>129</v>
      </c>
      <c r="B129" s="7">
        <v>0.93710000000000004</v>
      </c>
      <c r="C129" s="7">
        <v>4302.3292000000001</v>
      </c>
      <c r="D129" s="7">
        <v>0</v>
      </c>
      <c r="E129" s="7">
        <v>4302.3292000000001</v>
      </c>
      <c r="F129" s="7">
        <v>0</v>
      </c>
      <c r="G129" s="7">
        <v>0</v>
      </c>
      <c r="H129" s="7">
        <v>0</v>
      </c>
      <c r="I129" s="7">
        <v>1200</v>
      </c>
      <c r="J129" s="7">
        <v>1200</v>
      </c>
      <c r="K129" s="7">
        <f t="shared" si="6"/>
        <v>717.05486666666673</v>
      </c>
      <c r="L129" s="7">
        <f t="shared" si="7"/>
        <v>671.95211555333344</v>
      </c>
    </row>
    <row r="130" spans="1:12" x14ac:dyDescent="0.35">
      <c r="A130" t="s">
        <v>130</v>
      </c>
      <c r="B130" s="7">
        <v>0.93710000000000004</v>
      </c>
      <c r="C130" s="7">
        <v>4322.6758</v>
      </c>
      <c r="D130" s="7">
        <v>0</v>
      </c>
      <c r="E130" s="7">
        <v>4322.6757999999936</v>
      </c>
      <c r="F130" s="7">
        <v>0</v>
      </c>
      <c r="G130" s="7">
        <v>0</v>
      </c>
      <c r="H130" s="7">
        <v>0</v>
      </c>
      <c r="I130" s="7">
        <v>1200</v>
      </c>
      <c r="J130" s="7">
        <v>1199.9999999999991</v>
      </c>
      <c r="K130" s="7">
        <f t="shared" ref="K130:K145" si="8">E130/6</f>
        <v>720.44596666666564</v>
      </c>
      <c r="L130" s="7">
        <f t="shared" ref="L130:L145" si="9">B130*K130</f>
        <v>675.12991536333243</v>
      </c>
    </row>
    <row r="131" spans="1:12" x14ac:dyDescent="0.35">
      <c r="A131" t="s">
        <v>131</v>
      </c>
      <c r="B131" s="7">
        <v>0.98709999999999998</v>
      </c>
      <c r="C131" s="7">
        <v>4428.8082999999997</v>
      </c>
      <c r="D131" s="7">
        <v>0</v>
      </c>
      <c r="E131" s="7">
        <v>4428.8083000000079</v>
      </c>
      <c r="F131" s="7">
        <v>0</v>
      </c>
      <c r="G131" s="7">
        <v>0</v>
      </c>
      <c r="H131" s="7">
        <v>0</v>
      </c>
      <c r="I131" s="7">
        <v>1199.9999999999991</v>
      </c>
      <c r="J131" s="7">
        <v>1200</v>
      </c>
      <c r="K131" s="7">
        <f t="shared" si="8"/>
        <v>738.13471666666794</v>
      </c>
      <c r="L131" s="7">
        <f t="shared" si="9"/>
        <v>728.61277882166792</v>
      </c>
    </row>
    <row r="132" spans="1:12" x14ac:dyDescent="0.35">
      <c r="A132" t="s">
        <v>132</v>
      </c>
      <c r="B132" s="7">
        <v>0.77639999999999998</v>
      </c>
      <c r="C132" s="7">
        <v>4030.1614</v>
      </c>
      <c r="D132" s="7">
        <v>0</v>
      </c>
      <c r="E132" s="7">
        <v>4030.1614</v>
      </c>
      <c r="F132" s="7">
        <v>0</v>
      </c>
      <c r="G132" s="7">
        <v>0</v>
      </c>
      <c r="H132" s="7">
        <v>0</v>
      </c>
      <c r="I132" s="7">
        <v>1200</v>
      </c>
      <c r="J132" s="7">
        <v>1200</v>
      </c>
      <c r="K132" s="7">
        <f t="shared" si="8"/>
        <v>671.6935666666667</v>
      </c>
      <c r="L132" s="7">
        <f t="shared" si="9"/>
        <v>521.50288516000001</v>
      </c>
    </row>
    <row r="133" spans="1:12" x14ac:dyDescent="0.35">
      <c r="A133" t="s">
        <v>133</v>
      </c>
      <c r="B133" s="7">
        <v>0.4209</v>
      </c>
      <c r="C133" s="7">
        <v>3362.7419</v>
      </c>
      <c r="D133" s="7">
        <v>0</v>
      </c>
      <c r="E133" s="7">
        <v>8362.7418999999936</v>
      </c>
      <c r="F133" s="7">
        <v>4999.9999999999955</v>
      </c>
      <c r="G133" s="7">
        <v>0</v>
      </c>
      <c r="H133" s="7">
        <v>0</v>
      </c>
      <c r="I133" s="7">
        <v>1200</v>
      </c>
      <c r="J133" s="7">
        <v>1990.5694150420941</v>
      </c>
      <c r="K133" s="7">
        <f t="shared" si="8"/>
        <v>1393.7903166666656</v>
      </c>
      <c r="L133" s="7">
        <f t="shared" si="9"/>
        <v>586.6463442849996</v>
      </c>
    </row>
    <row r="134" spans="1:12" x14ac:dyDescent="0.35">
      <c r="A134" t="s">
        <v>134</v>
      </c>
      <c r="B134" s="7">
        <v>0.38590000000000002</v>
      </c>
      <c r="C134" s="7">
        <v>3309.3933999999999</v>
      </c>
      <c r="D134" s="7">
        <v>0</v>
      </c>
      <c r="E134" s="7">
        <v>8309.3933999999917</v>
      </c>
      <c r="F134" s="7">
        <v>5000.0000000000164</v>
      </c>
      <c r="G134" s="7">
        <v>0</v>
      </c>
      <c r="H134" s="7">
        <v>0</v>
      </c>
      <c r="I134" s="7">
        <v>1990.5694150420941</v>
      </c>
      <c r="J134" s="7">
        <v>2781.1388300841868</v>
      </c>
      <c r="K134" s="7">
        <f t="shared" si="8"/>
        <v>1384.8988999999985</v>
      </c>
      <c r="L134" s="7">
        <f t="shared" si="9"/>
        <v>534.43248550999942</v>
      </c>
    </row>
    <row r="135" spans="1:12" x14ac:dyDescent="0.35">
      <c r="A135" t="s">
        <v>135</v>
      </c>
      <c r="B135" s="7">
        <v>0.43680000000000002</v>
      </c>
      <c r="C135" s="7">
        <v>3412.9562999999998</v>
      </c>
      <c r="D135" s="7">
        <v>0</v>
      </c>
      <c r="E135" s="7">
        <v>3412.956299999988</v>
      </c>
      <c r="F135" s="7">
        <v>0</v>
      </c>
      <c r="G135" s="7">
        <v>0</v>
      </c>
      <c r="H135" s="7">
        <v>0</v>
      </c>
      <c r="I135" s="7">
        <v>2781.1388300841868</v>
      </c>
      <c r="J135" s="7">
        <v>2781.138830084185</v>
      </c>
      <c r="K135" s="7">
        <f t="shared" si="8"/>
        <v>568.82604999999796</v>
      </c>
      <c r="L135" s="7">
        <f t="shared" si="9"/>
        <v>248.46321863999913</v>
      </c>
    </row>
    <row r="136" spans="1:12" x14ac:dyDescent="0.35">
      <c r="A136" t="s">
        <v>136</v>
      </c>
      <c r="B136" s="7">
        <v>0.41980000000000001</v>
      </c>
      <c r="C136" s="7">
        <v>3381.9313000000002</v>
      </c>
      <c r="D136" s="7">
        <v>0</v>
      </c>
      <c r="E136" s="7">
        <v>8381.9312999999947</v>
      </c>
      <c r="F136" s="7">
        <v>4999.9999999999754</v>
      </c>
      <c r="G136" s="7">
        <v>0</v>
      </c>
      <c r="H136" s="7">
        <v>0</v>
      </c>
      <c r="I136" s="7">
        <v>2781.138830084185</v>
      </c>
      <c r="J136" s="7">
        <v>3571.7082451262791</v>
      </c>
      <c r="K136" s="7">
        <f t="shared" si="8"/>
        <v>1396.9885499999991</v>
      </c>
      <c r="L136" s="7">
        <f t="shared" si="9"/>
        <v>586.45579328999963</v>
      </c>
    </row>
    <row r="137" spans="1:12" x14ac:dyDescent="0.35">
      <c r="A137" t="s">
        <v>137</v>
      </c>
      <c r="B137" s="7">
        <v>0.41860000000000003</v>
      </c>
      <c r="C137" s="7">
        <v>3386.5592000000001</v>
      </c>
      <c r="D137" s="7">
        <v>0</v>
      </c>
      <c r="E137" s="7">
        <v>8386.5591999999851</v>
      </c>
      <c r="F137" s="7">
        <v>4999.99999999998</v>
      </c>
      <c r="G137" s="7">
        <v>0</v>
      </c>
      <c r="H137" s="7">
        <v>0</v>
      </c>
      <c r="I137" s="7">
        <v>3571.7082451262791</v>
      </c>
      <c r="J137" s="7">
        <v>4362.2776601683709</v>
      </c>
      <c r="K137" s="7">
        <f t="shared" si="8"/>
        <v>1397.7598666666643</v>
      </c>
      <c r="L137" s="7">
        <f t="shared" si="9"/>
        <v>585.10228018666567</v>
      </c>
    </row>
    <row r="138" spans="1:12" x14ac:dyDescent="0.35">
      <c r="A138" t="s">
        <v>138</v>
      </c>
      <c r="B138" s="7">
        <v>0.42409999999999998</v>
      </c>
      <c r="C138" s="7">
        <v>3400.4845999999998</v>
      </c>
      <c r="D138" s="7">
        <v>0</v>
      </c>
      <c r="E138" s="7">
        <v>3406.4124479722041</v>
      </c>
      <c r="F138" s="7">
        <v>5.9278479721888244</v>
      </c>
      <c r="G138" s="7">
        <v>0</v>
      </c>
      <c r="H138" s="7">
        <v>0</v>
      </c>
      <c r="I138" s="7">
        <v>4362.2776601683709</v>
      </c>
      <c r="J138" s="7">
        <v>4363.2149352291399</v>
      </c>
      <c r="K138" s="7">
        <f t="shared" si="8"/>
        <v>567.73540799536738</v>
      </c>
      <c r="L138" s="7">
        <f t="shared" si="9"/>
        <v>240.77658653083529</v>
      </c>
    </row>
    <row r="139" spans="1:12" x14ac:dyDescent="0.35">
      <c r="A139" t="s">
        <v>139</v>
      </c>
      <c r="B139" s="7">
        <v>0.42370000000000002</v>
      </c>
      <c r="C139" s="7">
        <v>3399.2426</v>
      </c>
      <c r="D139" s="7">
        <v>0</v>
      </c>
      <c r="E139" s="7">
        <v>8399.2426000000305</v>
      </c>
      <c r="F139" s="7">
        <v>5000.0000000000846</v>
      </c>
      <c r="G139" s="7">
        <v>0</v>
      </c>
      <c r="H139" s="7">
        <v>0</v>
      </c>
      <c r="I139" s="7">
        <v>4363.2149352291399</v>
      </c>
      <c r="J139" s="7">
        <v>5153.7843502712394</v>
      </c>
      <c r="K139" s="7">
        <f t="shared" si="8"/>
        <v>1399.8737666666718</v>
      </c>
      <c r="L139" s="7">
        <f t="shared" si="9"/>
        <v>593.12651493666885</v>
      </c>
    </row>
    <row r="140" spans="1:12" x14ac:dyDescent="0.35">
      <c r="A140" t="s">
        <v>140</v>
      </c>
      <c r="B140" s="7">
        <v>0.42480000000000001</v>
      </c>
      <c r="C140" s="7">
        <v>3406.9809</v>
      </c>
      <c r="D140" s="7">
        <v>0</v>
      </c>
      <c r="E140" s="7">
        <v>3406.9809000000018</v>
      </c>
      <c r="F140" s="7">
        <v>0</v>
      </c>
      <c r="G140" s="7">
        <v>0</v>
      </c>
      <c r="H140" s="7">
        <v>0</v>
      </c>
      <c r="I140" s="7">
        <v>5153.7843502712394</v>
      </c>
      <c r="J140" s="7">
        <v>5153.7843502712394</v>
      </c>
      <c r="K140" s="7">
        <f t="shared" si="8"/>
        <v>567.83015000000034</v>
      </c>
      <c r="L140" s="7">
        <f t="shared" si="9"/>
        <v>241.21424772000015</v>
      </c>
    </row>
    <row r="141" spans="1:12" x14ac:dyDescent="0.35">
      <c r="A141" t="s">
        <v>141</v>
      </c>
      <c r="B141" s="7">
        <v>0.42399999999999999</v>
      </c>
      <c r="C141" s="7">
        <v>3416.1518000000001</v>
      </c>
      <c r="D141" s="7">
        <v>0</v>
      </c>
      <c r="E141" s="7">
        <v>3417.151799999996</v>
      </c>
      <c r="F141" s="7">
        <v>0.99999999998089972</v>
      </c>
      <c r="G141" s="7">
        <v>0</v>
      </c>
      <c r="H141" s="7">
        <v>0</v>
      </c>
      <c r="I141" s="7">
        <v>5153.7843502712394</v>
      </c>
      <c r="J141" s="7">
        <v>5153.9424641542464</v>
      </c>
      <c r="K141" s="7">
        <f t="shared" si="8"/>
        <v>569.52529999999933</v>
      </c>
      <c r="L141" s="7">
        <f t="shared" si="9"/>
        <v>241.47872719999972</v>
      </c>
    </row>
    <row r="142" spans="1:12" x14ac:dyDescent="0.35">
      <c r="A142" t="s">
        <v>142</v>
      </c>
      <c r="B142" s="7">
        <v>0.42199999999999999</v>
      </c>
      <c r="C142" s="7">
        <v>3421.9811</v>
      </c>
      <c r="D142" s="7">
        <v>0</v>
      </c>
      <c r="E142" s="7">
        <v>8421.9810999999954</v>
      </c>
      <c r="F142" s="7">
        <v>5000.0000000000464</v>
      </c>
      <c r="G142" s="7">
        <v>0</v>
      </c>
      <c r="H142" s="7">
        <v>0</v>
      </c>
      <c r="I142" s="7">
        <v>5153.9424641542464</v>
      </c>
      <c r="J142" s="7">
        <v>5944.5118791963396</v>
      </c>
      <c r="K142" s="7">
        <f t="shared" si="8"/>
        <v>1403.6635166666658</v>
      </c>
      <c r="L142" s="7">
        <f t="shared" si="9"/>
        <v>592.34600403333297</v>
      </c>
    </row>
    <row r="143" spans="1:12" x14ac:dyDescent="0.35">
      <c r="A143" t="s">
        <v>143</v>
      </c>
      <c r="B143" s="7">
        <v>0.42399999999999999</v>
      </c>
      <c r="C143" s="7">
        <v>3429.6923000000002</v>
      </c>
      <c r="D143" s="7">
        <v>0</v>
      </c>
      <c r="E143" s="7">
        <v>3780.6299896442429</v>
      </c>
      <c r="F143" s="7">
        <v>350.93768964433463</v>
      </c>
      <c r="G143" s="7">
        <v>0</v>
      </c>
      <c r="H143" s="7">
        <v>0</v>
      </c>
      <c r="I143" s="7">
        <v>5944.5118791963396</v>
      </c>
      <c r="J143" s="7">
        <v>5999.9999999999936</v>
      </c>
      <c r="K143" s="7">
        <f t="shared" si="8"/>
        <v>630.10499827404044</v>
      </c>
      <c r="L143" s="7">
        <f t="shared" si="9"/>
        <v>267.16451926819315</v>
      </c>
    </row>
    <row r="144" spans="1:12" x14ac:dyDescent="0.35">
      <c r="A144" t="s">
        <v>144</v>
      </c>
      <c r="B144" s="7">
        <v>0.42709999999999998</v>
      </c>
      <c r="C144" s="7">
        <v>3439.0610000000001</v>
      </c>
      <c r="D144" s="7">
        <v>0</v>
      </c>
      <c r="E144" s="7">
        <v>3439.0610000000452</v>
      </c>
      <c r="F144" s="7">
        <v>0</v>
      </c>
      <c r="G144" s="7">
        <v>0</v>
      </c>
      <c r="H144" s="7">
        <v>0</v>
      </c>
      <c r="I144" s="7">
        <v>5999.9999999999936</v>
      </c>
      <c r="J144" s="7">
        <v>6000</v>
      </c>
      <c r="K144" s="7">
        <f t="shared" si="8"/>
        <v>573.17683333334082</v>
      </c>
      <c r="L144" s="7">
        <f t="shared" si="9"/>
        <v>244.80382551666986</v>
      </c>
    </row>
    <row r="145" spans="1:12" x14ac:dyDescent="0.35">
      <c r="A145" t="s">
        <v>145</v>
      </c>
      <c r="B145" s="7">
        <v>0.42759999999999998</v>
      </c>
      <c r="C145" s="7">
        <v>3444.7258999999999</v>
      </c>
      <c r="D145" s="7">
        <v>0</v>
      </c>
      <c r="E145" s="7">
        <v>3444.7258999999999</v>
      </c>
      <c r="F145" s="7">
        <v>0</v>
      </c>
      <c r="G145" s="7">
        <v>0</v>
      </c>
      <c r="H145" s="7">
        <v>0</v>
      </c>
      <c r="I145" s="7">
        <v>6000</v>
      </c>
      <c r="J145" s="7">
        <v>6000</v>
      </c>
      <c r="K145" s="7">
        <f t="shared" si="8"/>
        <v>574.12098333333336</v>
      </c>
      <c r="L145" s="7">
        <f t="shared" si="9"/>
        <v>245.49413247333334</v>
      </c>
    </row>
    <row r="146" spans="1:12" x14ac:dyDescent="0.35">
      <c r="A146" t="s">
        <v>169</v>
      </c>
      <c r="K146" s="7">
        <f>SUM(K2:K145)</f>
        <v>57526.243478352015</v>
      </c>
      <c r="L146" s="7">
        <f>SUM(L2:L145)</f>
        <v>33801.495642222428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70" customWidth="1"/>
  </cols>
  <sheetData>
    <row r="1" spans="1:2" ht="15" x14ac:dyDescent="0.35">
      <c r="A1" s="8" t="s">
        <v>170</v>
      </c>
      <c r="B1" s="8" t="s">
        <v>171</v>
      </c>
    </row>
    <row r="2" spans="1:2" x14ac:dyDescent="0.35">
      <c r="A2" t="s">
        <v>172</v>
      </c>
      <c r="B2" t="s">
        <v>173</v>
      </c>
    </row>
    <row r="3" spans="1:2" x14ac:dyDescent="0.35">
      <c r="A3" t="s">
        <v>174</v>
      </c>
      <c r="B3" s="7">
        <v>0.9</v>
      </c>
    </row>
    <row r="4" spans="1:2" x14ac:dyDescent="0.35">
      <c r="A4" t="s">
        <v>175</v>
      </c>
      <c r="B4" s="7">
        <v>0.94868329805051377</v>
      </c>
    </row>
    <row r="5" spans="1:2" x14ac:dyDescent="0.35">
      <c r="A5" t="s">
        <v>176</v>
      </c>
      <c r="B5" s="7">
        <v>1</v>
      </c>
    </row>
    <row r="6" spans="1:2" x14ac:dyDescent="0.35">
      <c r="A6" t="s">
        <v>177</v>
      </c>
      <c r="B6" s="7">
        <v>3</v>
      </c>
    </row>
    <row r="7" spans="1:2" x14ac:dyDescent="0.35">
      <c r="A7" t="s">
        <v>178</v>
      </c>
      <c r="B7" s="7">
        <v>57526.243478352029</v>
      </c>
    </row>
    <row r="8" spans="1:2" x14ac:dyDescent="0.35">
      <c r="A8" t="s">
        <v>179</v>
      </c>
      <c r="B8" s="7">
        <v>33801.495642222442</v>
      </c>
    </row>
    <row r="9" spans="1:2" x14ac:dyDescent="0.35">
      <c r="A9" t="s">
        <v>180</v>
      </c>
      <c r="B9" s="7">
        <v>1984.2710450186869</v>
      </c>
    </row>
    <row r="10" spans="1:2" x14ac:dyDescent="0.35">
      <c r="A10" t="s">
        <v>181</v>
      </c>
      <c r="B10" s="7">
        <v>1.364242052659392E-11</v>
      </c>
    </row>
    <row r="11" spans="1:2" x14ac:dyDescent="0.35">
      <c r="A11" t="s">
        <v>182</v>
      </c>
      <c r="B11" t="s">
        <v>183</v>
      </c>
    </row>
    <row r="12" spans="1:2" x14ac:dyDescent="0.35">
      <c r="A12" t="s">
        <v>184</v>
      </c>
      <c r="B12" s="7">
        <v>1.330136001342908E-11</v>
      </c>
    </row>
    <row r="13" spans="1:2" x14ac:dyDescent="0.35">
      <c r="A13" t="s">
        <v>185</v>
      </c>
      <c r="B13" s="7">
        <v>1.7796085925711419E-13</v>
      </c>
    </row>
    <row r="14" spans="1:2" x14ac:dyDescent="0.35">
      <c r="A14" t="s">
        <v>186</v>
      </c>
      <c r="B14" s="7">
        <v>0</v>
      </c>
    </row>
    <row r="15" spans="1:2" x14ac:dyDescent="0.35">
      <c r="A15" t="s">
        <v>187</v>
      </c>
      <c r="B15" s="7">
        <v>1.6587746320201949E-10</v>
      </c>
    </row>
    <row r="16" spans="1:2" x14ac:dyDescent="0.35">
      <c r="A16" t="s">
        <v>188</v>
      </c>
      <c r="B16" s="7">
        <v>8.5492501966655254E-11</v>
      </c>
    </row>
    <row r="17" spans="1:2" x14ac:dyDescent="0.35">
      <c r="A17" t="s">
        <v>189</v>
      </c>
      <c r="B17" s="7">
        <v>1</v>
      </c>
    </row>
    <row r="18" spans="1:2" x14ac:dyDescent="0.35">
      <c r="A18" t="s">
        <v>190</v>
      </c>
      <c r="B18" s="7">
        <v>33801.495542222008</v>
      </c>
    </row>
    <row r="19" spans="1:2" x14ac:dyDescent="0.35">
      <c r="A19" t="s">
        <v>191</v>
      </c>
      <c r="B19" s="7">
        <v>0.16714560000036729</v>
      </c>
    </row>
    <row r="20" spans="1:2" x14ac:dyDescent="0.35">
      <c r="A20" t="s">
        <v>192</v>
      </c>
      <c r="B20" s="7">
        <v>0</v>
      </c>
    </row>
    <row r="21" spans="1:2" x14ac:dyDescent="0.35">
      <c r="A21" t="s">
        <v>193</v>
      </c>
      <c r="B21" s="7">
        <v>33801.495542222008</v>
      </c>
    </row>
    <row r="22" spans="1:2" x14ac:dyDescent="0.35">
      <c r="A22" t="s">
        <v>194</v>
      </c>
      <c r="B22" s="7">
        <v>33801.495542222008</v>
      </c>
    </row>
    <row r="23" spans="1:2" x14ac:dyDescent="0.35">
      <c r="A23" t="s">
        <v>195</v>
      </c>
      <c r="B23" s="7">
        <v>57526.243480883502</v>
      </c>
    </row>
    <row r="24" spans="1:2" x14ac:dyDescent="0.35">
      <c r="A24" t="s">
        <v>196</v>
      </c>
      <c r="B24" s="7">
        <v>102696.4367662099</v>
      </c>
    </row>
    <row r="25" spans="1:2" x14ac:dyDescent="0.35">
      <c r="A25" t="s">
        <v>197</v>
      </c>
      <c r="B25" s="7">
        <v>13</v>
      </c>
    </row>
    <row r="26" spans="1:2" x14ac:dyDescent="0.35">
      <c r="A26" t="s">
        <v>198</v>
      </c>
      <c r="B26" s="7">
        <v>14</v>
      </c>
    </row>
    <row r="27" spans="1:2" x14ac:dyDescent="0.35">
      <c r="A27" t="s">
        <v>199</v>
      </c>
      <c r="B27" s="7">
        <v>0.14076141442097909</v>
      </c>
    </row>
    <row r="28" spans="1:2" x14ac:dyDescent="0.35">
      <c r="A28" t="s">
        <v>200</v>
      </c>
      <c r="B28" s="7">
        <v>2</v>
      </c>
    </row>
    <row r="29" spans="1:2" x14ac:dyDescent="0.35">
      <c r="A29" t="s">
        <v>201</v>
      </c>
      <c r="B29" s="7">
        <v>0.13033641442125499</v>
      </c>
    </row>
    <row r="30" spans="1:2" x14ac:dyDescent="0.35">
      <c r="A30" t="s">
        <v>202</v>
      </c>
      <c r="B30" s="7">
        <v>0.23713180000049761</v>
      </c>
    </row>
    <row r="31" spans="1:2" x14ac:dyDescent="0.35">
      <c r="A31" t="s">
        <v>203</v>
      </c>
      <c r="B31" s="7">
        <v>0</v>
      </c>
    </row>
    <row r="32" spans="1:2" x14ac:dyDescent="0.35">
      <c r="A32" t="s">
        <v>204</v>
      </c>
      <c r="B32" s="7">
        <v>0.13033641442125499</v>
      </c>
    </row>
    <row r="33" spans="1:2" x14ac:dyDescent="0.35">
      <c r="A33" t="s">
        <v>205</v>
      </c>
      <c r="B33" s="7">
        <v>33801.495642222013</v>
      </c>
    </row>
    <row r="34" spans="1:2" x14ac:dyDescent="0.35">
      <c r="A34" t="s">
        <v>206</v>
      </c>
      <c r="B34" s="7">
        <v>57526.243480883502</v>
      </c>
    </row>
    <row r="35" spans="1:2" x14ac:dyDescent="0.35">
      <c r="A35" t="s">
        <v>207</v>
      </c>
      <c r="B35" s="7">
        <v>102684.4367670949</v>
      </c>
    </row>
    <row r="36" spans="1:2" x14ac:dyDescent="0.35">
      <c r="A36" t="s">
        <v>208</v>
      </c>
      <c r="B36" s="7">
        <v>12</v>
      </c>
    </row>
    <row r="37" spans="1:2" x14ac:dyDescent="0.35">
      <c r="A37" t="s">
        <v>209</v>
      </c>
      <c r="B37" s="7">
        <v>10</v>
      </c>
    </row>
    <row r="38" spans="1:2" x14ac:dyDescent="0.35">
      <c r="A38" t="s">
        <v>210</v>
      </c>
      <c r="B38" s="7">
        <v>0.13033641442159369</v>
      </c>
    </row>
    <row r="39" spans="1:2" x14ac:dyDescent="0.35">
      <c r="A39" t="s">
        <v>211</v>
      </c>
      <c r="B39" s="7">
        <v>3</v>
      </c>
    </row>
    <row r="40" spans="1:2" x14ac:dyDescent="0.35">
      <c r="A40" t="s">
        <v>212</v>
      </c>
      <c r="B40" s="7">
        <v>57526.243478352022</v>
      </c>
    </row>
    <row r="41" spans="1:2" x14ac:dyDescent="0.35">
      <c r="A41" t="s">
        <v>213</v>
      </c>
      <c r="B41" s="7">
        <v>0.17085349999979371</v>
      </c>
    </row>
    <row r="42" spans="1:2" x14ac:dyDescent="0.35">
      <c r="A42" t="s">
        <v>214</v>
      </c>
      <c r="B42" s="7">
        <v>0</v>
      </c>
    </row>
    <row r="43" spans="1:2" x14ac:dyDescent="0.35">
      <c r="A43" t="s">
        <v>215</v>
      </c>
      <c r="B43" s="7">
        <v>57526.243478352022</v>
      </c>
    </row>
    <row r="44" spans="1:2" x14ac:dyDescent="0.35">
      <c r="A44" t="s">
        <v>216</v>
      </c>
      <c r="B44" s="7">
        <v>33801.495642222428</v>
      </c>
    </row>
    <row r="45" spans="1:2" x14ac:dyDescent="0.35">
      <c r="A45" t="s">
        <v>217</v>
      </c>
      <c r="B45" s="7">
        <v>57526.243478352029</v>
      </c>
    </row>
    <row r="46" spans="1:2" x14ac:dyDescent="0.35">
      <c r="A46" t="s">
        <v>218</v>
      </c>
      <c r="B46" s="7">
        <v>102684.58076649161</v>
      </c>
    </row>
    <row r="47" spans="1:2" x14ac:dyDescent="0.35">
      <c r="A47" t="s">
        <v>219</v>
      </c>
      <c r="B47" s="7">
        <v>12</v>
      </c>
    </row>
    <row r="48" spans="1:2" x14ac:dyDescent="0.35">
      <c r="A48" t="s">
        <v>220</v>
      </c>
      <c r="B48" s="7">
        <v>10</v>
      </c>
    </row>
    <row r="49" spans="1:2" x14ac:dyDescent="0.35">
      <c r="A49" t="s">
        <v>221</v>
      </c>
      <c r="B49" s="7">
        <v>0.13033651442117469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充放电量</vt:lpstr>
      <vt:lpstr>计算明细</vt:lpstr>
      <vt:lpstr>求解核验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凡凡 凡</cp:lastModifiedBy>
  <dcterms:created xsi:type="dcterms:W3CDTF">2026-06-20T09:04:09Z</dcterms:created>
  <dcterms:modified xsi:type="dcterms:W3CDTF">2026-09-11T12:04:45Z</dcterms:modified>
</cp:coreProperties>
</file>